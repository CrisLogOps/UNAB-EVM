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02"/>
  <workbookPr/>
  <mc:AlternateContent xmlns:mc="http://schemas.openxmlformats.org/markup-compatibility/2006">
    <mc:Choice Requires="x15">
      <x15ac:absPath xmlns:x15ac="http://schemas.microsoft.com/office/spreadsheetml/2010/11/ac" url="C:\Users\aleja\Downloads\"/>
    </mc:Choice>
  </mc:AlternateContent>
  <xr:revisionPtr revIDLastSave="0" documentId="8_{C6B2CC59-7330-4816-93D2-CCFD8339F38D}" xr6:coauthVersionLast="47" xr6:coauthVersionMax="47" xr10:uidLastSave="{00000000-0000-0000-0000-000000000000}"/>
  <bookViews>
    <workbookView xWindow="-110" yWindow="-110" windowWidth="19420" windowHeight="11500" tabRatio="500" firstSheet="4" activeTab="4" xr2:uid="{00000000-000D-0000-FFFF-FFFF00000000}"/>
  </bookViews>
  <sheets>
    <sheet name="Portada" sheetId="1" r:id="rId1"/>
    <sheet name="Resumen_Fases" sheetId="2" r:id="rId2"/>
    <sheet name="Flujo_Detallado" sheetId="3" r:id="rId3"/>
    <sheet name="Diagrama_Visual" sheetId="4" r:id="rId4"/>
    <sheet name="Leyenda" sheetId="5" r:id="rId5"/>
  </sheets>
  <definedNames>
    <definedName name="_xlnm._FilterDatabase" localSheetId="2" hidden="1">Flujo_Detallado!$A$1:$O$57</definedName>
    <definedName name="_xlnm._FilterDatabase" localSheetId="1" hidden="1">Resumen_Fases!$A$1:$G$8</definedName>
  </definedNames>
  <calcPr calcId="191028"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G8" i="2" l="1"/>
  <c r="G7" i="2"/>
  <c r="G6" i="2"/>
  <c r="G5" i="2"/>
  <c r="G4" i="2"/>
  <c r="G3" i="2"/>
  <c r="G2" i="2"/>
</calcChain>
</file>

<file path=xl/sharedStrings.xml><?xml version="1.0" encoding="utf-8"?>
<sst xmlns="http://schemas.openxmlformats.org/spreadsheetml/2006/main" count="955" uniqueCount="561">
  <si>
    <t>Diagrama de Flujo de Procesos de Proyecto</t>
  </si>
  <si>
    <t>Desde la Adjudicación (Comercial) hasta el Traspaso a Postventa/Mantenimiento</t>
  </si>
  <si>
    <t>Propósito</t>
  </si>
  <si>
    <t>Este libro especifica, paso a paso, el flujo de procesos aplicable a cualquier tipo de proyecto ejecutado bajo contrato: desde que el área Comercial adjudica y traspasa el proyecto a Operaciones, pasando por el Kick-off de Partida con el cliente (Día 1), la ejecución (con permisos, compras/importaciones, RR.HH. y facturación), la gestión de variaciones de obra durante el desarrollo, la entrega del Turnover Package (TOP) al cliente y el cierre certificado, hasta el traspaso al área de Postventa/Mantenimiento con sus garantías. Cada fila de "Flujo_Detallado" es un nodo del flujo, con su(s) predecesor(es), su(s) sucesor(es) y las reglas de bifurcación necesarias para modelarlo como una máquina de estados o un motor de workflow. La pestaña "Diagrama_Visual" ofrece una lectura gráfica del mismo flujo.</t>
  </si>
  <si>
    <t>Base conceptual</t>
  </si>
  <si>
    <t>La estructura macro (fases, grupos de proceso y áreas de conocimiento/dominios) se elaboró tomando como referencia conceptual la Guía del PMBOK® del PMI (6.ª, 7.ª y 8.ª edición). Este documento es una adaptación original orientada a la administración de contratos y control de proyectos; no reproduce texto de la Guía del PMBOK®, cuyo contenido es propiedad de PMI.</t>
  </si>
  <si>
    <t>Cómo leer la hoja "Flujo_Detallado"</t>
  </si>
  <si>
    <t>• Cada paso tiene un ID único (ej. F5.6) que combina la fase macro y el correlativo dentro de ella.
• "Paso Anterior" y "Paso Siguiente" son los identificadores de los nodos conectados: son las aristas del grafo de flujo.
• "¿Punto de Decisión?" = Sí marca un nodo con más de una salida posible (bifurcación / gate), resaltado en rojo tanto en la tabla como en el diagrama.
• "Condición / Regla de Bifurcación" describe en texto la regla de negocio que decide hacia qué siguiente paso avanza el flujo; algunos pasos retornan (loop) a un paso anterior.
• El color de cada fila identifica la fase macro (ver hoja "Leyenda"), útil para leer el flujo como si fueran carriles (swimlanes) — el mismo esquema de color se usa en "Diagrama_Visual".</t>
  </si>
  <si>
    <t>Fases macro incluidas</t>
  </si>
  <si>
    <t>F1 · Adjudicación y Formalización Contractual  —  Formalizar jurídica y comercialmente la relación contractual, y traspasar el proyecto desde el área Comercial hacia el área Operativa.</t>
  </si>
  <si>
    <t>F2 · Inicio del Proyecto  —  Validar la consistencia técnica de lo vendido, formalizar la autoridad del PM y establecer con el cliente el Día 1 del proyecto.</t>
  </si>
  <si>
    <t>F3 · Planificación  —  Definir las líneas base de alcance, tiempo y costo, junto con los planes subsidiarios de riesgo, calidad, adquisiciones y comunicaciones.</t>
  </si>
  <si>
    <t>F4 · Ejecución  —  Ejecutar el trabajo planificado: movilizar recursos, gestionar permisos, compras e importaciones, contratar personal, administrar subcontratos, tramitar anticipos/facturación y asegurar la calidad.</t>
  </si>
  <si>
    <t>F5 · Monitoreo y Control  —  Medir el desempeño real vs. planificado (EVM/Curva S), gestionar variaciones de obra y cambios (incluyendo su acuerdo económico con el mandante) y activar acciones correctivas cuando corresponda.</t>
  </si>
  <si>
    <t>F6 · Cierre Contractual y Administrativo  —  Validar y certificar la correcta instalación de lo contratado (por el mandante o un tercero contratado), entregar el Turnover Package (TOP) al cliente para el cierre contractual y operativo, liquidar el contrato y compilar los antecedentes técnicos internos.</t>
  </si>
  <si>
    <t>F7 · Garantías y Traspaso a Postventa/Mantenimiento  —  Traspasar el proyecto al área de Postventa/Mantenimiento, activando tanto la garantía de instalación/ejecución (Operaciones) como la garantía comercial del producto vendido (Comercial), y gestionar el período de garantía hasta su cierre.</t>
  </si>
  <si>
    <t>El historial de cambios entre versiones de este flujo se documenta en un archivo de texto aparte (no en este libro), para mantener este documento limpio como base de trabajo para el desarrollo del software y para la revisión docente del Seminario de Grado.</t>
  </si>
  <si>
    <t>Fase</t>
  </si>
  <si>
    <t>Nombre de la Fase</t>
  </si>
  <si>
    <t>Grupo de Proceso (PMBOK)</t>
  </si>
  <si>
    <t>Objetivo Principal</t>
  </si>
  <si>
    <t>Hito de Entrada</t>
  </si>
  <si>
    <t>Hito de Salida</t>
  </si>
  <si>
    <t>N° de Pasos</t>
  </si>
  <si>
    <t>F1</t>
  </si>
  <si>
    <t>F1 · Adjudicación y Formalización Contractual</t>
  </si>
  <si>
    <t>Pre-Proyecto (previo a Iniciación)</t>
  </si>
  <si>
    <t>Formalizar jurídica y comercialmente la relación contractual, y traspasar el proyecto desde el área Comercial hacia el área Operativa.</t>
  </si>
  <si>
    <t>Notificación de adjudicación recibida.</t>
  </si>
  <si>
    <t>Contrato firmado, garantías constituidas y Kick-off Comercial→Operaciones realizado (acuerdos con el cliente, plazos, costos y margen traspasados).</t>
  </si>
  <si>
    <t>F2</t>
  </si>
  <si>
    <t>F2 · Inicio del Proyecto</t>
  </si>
  <si>
    <t>Iniciación</t>
  </si>
  <si>
    <t>Validar la consistencia técnica de lo vendido, formalizar la autoridad del PM y establecer con el cliente el Día 1 del proyecto.</t>
  </si>
  <si>
    <t>Antecedentes de venta traspasados por el área Comercial (F1.5).</t>
  </si>
  <si>
    <t>Kick-off de Partida realizado con el cliente (Día 1 - inicio oficial), Acta de Constitución aprobada y organigrama/RACI definidos.</t>
  </si>
  <si>
    <t>F3</t>
  </si>
  <si>
    <t>F3 · Planificación</t>
  </si>
  <si>
    <t>Planificación</t>
  </si>
  <si>
    <t>Definir las líneas base de alcance, tiempo y costo, junto con los planes subsidiarios de riesgo, calidad, adquisiciones y comunicaciones.</t>
  </si>
  <si>
    <t>Acta de Constitución aprobada.</t>
  </si>
  <si>
    <t>Línea base del proyecto (alcance-tiempo-costo) aprobada por el patrocinador/mandante.</t>
  </si>
  <si>
    <t>F4</t>
  </si>
  <si>
    <t>F4 · Ejecución</t>
  </si>
  <si>
    <t>Ejecución</t>
  </si>
  <si>
    <t>Ejecutar el trabajo planificado: movilizar recursos, gestionar permisos, compras e importaciones, contratar personal, administrar subcontratos, tramitar anticipos/facturación y asegurar la calidad.</t>
  </si>
  <si>
    <t>Línea base aprobada.</t>
  </si>
  <si>
    <t>Avance físico y financiero reportado periódicamente al proceso de Monitoreo y Control.</t>
  </si>
  <si>
    <t>F5</t>
  </si>
  <si>
    <t>F5 · Monitoreo y Control</t>
  </si>
  <si>
    <t>Monitoreo y Control (concurrente con Ejecución)</t>
  </si>
  <si>
    <t>Medir el desempeño real vs. planificado (EVM/Curva S), gestionar variaciones de obra y cambios (incluyendo su acuerdo económico con el mandante) y activar acciones correctivas cuando corresponda.</t>
  </si>
  <si>
    <t>Reporte periódico de avance desde Ejecución.</t>
  </si>
  <si>
    <t>Verificación de que el 100% del alcance contratado (incluidas variaciones aprobadas) fue completado.</t>
  </si>
  <si>
    <t>F6</t>
  </si>
  <si>
    <t>F6 · Cierre Contractual y Administrativo</t>
  </si>
  <si>
    <t>Cierre</t>
  </si>
  <si>
    <t>Validar y certificar la correcta instalación de lo contratado (por el mandante o un tercero contratado), entregar el Turnover Package (TOP) al cliente para el cierre contractual y operativo, liquidar el contrato y compilar los antecedentes técnicos internos.</t>
  </si>
  <si>
    <t>Alcance completado al 100%.</t>
  </si>
  <si>
    <t>TOP entregado y aceptado por el cliente, contrato liquidado y dossier técnico interno (as-built) completo, listo para el traspaso.</t>
  </si>
  <si>
    <t>F7</t>
  </si>
  <si>
    <t>F7 · Garantías y Traspaso a Postventa/Mantenimiento</t>
  </si>
  <si>
    <t>Post-Cierre / Transición Operacional (extensión práctica del ciclo PMBOK)</t>
  </si>
  <si>
    <t>Traspasar el proyecto al área de Postventa/Mantenimiento, activando tanto la garantía de instalación/ejecución (Operaciones) como la garantía comercial del producto vendido (Comercial), y gestionar el período de garantía hasta su cierre.</t>
  </si>
  <si>
    <t>Dossier técnico interno completo.</t>
  </si>
  <si>
    <t>Garantías (instalación y producto) liberadas y proyecto archivado definitivamente.</t>
  </si>
  <si>
    <t>ID</t>
  </si>
  <si>
    <t>Fase Macro</t>
  </si>
  <si>
    <t>Área de Conocimiento / Dominio</t>
  </si>
  <si>
    <t>Paso / Actividad</t>
  </si>
  <si>
    <t>Descripción</t>
  </si>
  <si>
    <t>Responsable</t>
  </si>
  <si>
    <t>Entradas Clave</t>
  </si>
  <si>
    <t>Salidas / Entregable</t>
  </si>
  <si>
    <t>Evidencia / Documento Requerido</t>
  </si>
  <si>
    <t>Paso Anterior</t>
  </si>
  <si>
    <t>Paso Siguiente</t>
  </si>
  <si>
    <t>¿Punto de Decisión?</t>
  </si>
  <si>
    <t>Condición / Regla de Bifurcación</t>
  </si>
  <si>
    <t>Módulo Sugerido en el Software</t>
  </si>
  <si>
    <t>F1.1</t>
  </si>
  <si>
    <t>Adquisiciones / Comercial</t>
  </si>
  <si>
    <t>Notificación de Adjudicación</t>
  </si>
  <si>
    <t>Recepción de la comunicación formal (oficio/carta) del mandante informando la adjudicación del contrato tras el proceso de licitación u oferta.</t>
  </si>
  <si>
    <t>Gerente Comercial / Jefe de Licitaciones</t>
  </si>
  <si>
    <t>Bases de licitación; oferta técnica-económica presentada</t>
  </si>
  <si>
    <t>Carta/oficio de adjudicación recibido</t>
  </si>
  <si>
    <t>Documento de adjudicación (PDF/oficio)</t>
  </si>
  <si>
    <t>—</t>
  </si>
  <si>
    <t>F1.2</t>
  </si>
  <si>
    <t>No</t>
  </si>
  <si>
    <t>Módulo Comercial / Registro de Oportunidades</t>
  </si>
  <si>
    <t>Adquisiciones / Legal-Contractual</t>
  </si>
  <si>
    <t>Revisión y Aceptación de Condiciones Contractuales</t>
  </si>
  <si>
    <t>Análisis legal y técnico de las cláusulas del contrato (plazos, multas, garantías, forma de pago, alcance) antes de la firma.</t>
  </si>
  <si>
    <t>Administrador de Contratos / Asesoría Legal</t>
  </si>
  <si>
    <t>Borrador de contrato; bases administrativas</t>
  </si>
  <si>
    <t>Contrato revisado y observaciones (si las hay)</t>
  </si>
  <si>
    <t>Informe de revisión legal/contractual</t>
  </si>
  <si>
    <t>F1.3</t>
  </si>
  <si>
    <t>Sí</t>
  </si>
  <si>
    <t>Si hay observaciones → vuelve a negociación con el mandante (F1.2); si está conforme → F1.3</t>
  </si>
  <si>
    <t>Módulo de Gestión Contractual</t>
  </si>
  <si>
    <t>Firma y Formalización del Contrato</t>
  </si>
  <si>
    <t>Suscripción del contrato entre las partes y constitución de garantías contractuales (boleta de fiel cumplimiento, anticipo, etc.).</t>
  </si>
  <si>
    <t>Representante Legal / Gerente General</t>
  </si>
  <si>
    <t>Contrato revisado y aprobado</t>
  </si>
  <si>
    <t>Contrato firmado; garantías constituidas</t>
  </si>
  <si>
    <t>Contrato firmado; boletas de garantía</t>
  </si>
  <si>
    <t>F1.4</t>
  </si>
  <si>
    <t>Módulo de Gestión Contractual / Garantías</t>
  </si>
  <si>
    <t>Recursos / Interesados</t>
  </si>
  <si>
    <t>Designación del Equipo del Proyecto</t>
  </si>
  <si>
    <t>Nombramiento formal del Project Manager/Administrador de Obra y conformación del equipo responsable de la ejecución.</t>
  </si>
  <si>
    <t>Gerencia de Proyectos / RR.HH.</t>
  </si>
  <si>
    <t>Contrato firmado; estructura organizacional disponible</t>
  </si>
  <si>
    <t>Nombramiento de PM y equipo asignado</t>
  </si>
  <si>
    <t>Acta de designación / correo formal</t>
  </si>
  <si>
    <t>F1.5</t>
  </si>
  <si>
    <t>Módulo RBAC / Gestión de Roles</t>
  </si>
  <si>
    <t>Integración</t>
  </si>
  <si>
    <t>Kick-off Comercial → Operaciones (Traspaso de Venta)</t>
  </si>
  <si>
    <t>Reunión de traspaso desde el área Comercial hacia el área Operativa, en la que se revisan los acuerdos alcanzados previamente con el cliente: el alcance vendido, la forma y el plazo de desarrollo, y los costos y el margen de ganancia definidos para la empresa.</t>
  </si>
  <si>
    <t>Gerente Comercial + PM entrante (Área Operativa)</t>
  </si>
  <si>
    <t>Expediente de licitación; oferta; contrato; carta de proyecto/venta</t>
  </si>
  <si>
    <t>Carpeta de antecedentes traspasada (acuerdos comerciales, plazos, costos y margen)</t>
  </si>
  <si>
    <t>Acta de Kick-off Comercial-Operaciones / checklist de traspaso</t>
  </si>
  <si>
    <t>F2.1</t>
  </si>
  <si>
    <t>Módulo de Documentación / Repositorio de Proyecto</t>
  </si>
  <si>
    <t>Revisión de Antecedentes Técnicos y Carta de Proyecto (Área Operativa)</t>
  </si>
  <si>
    <t>El área Operativa revisa los antecedentes traspasados por Comercial (carta de proyecto/venta, planos, especificaciones técnicas, normativa vigente) para verificar la consistencia entre lo vendido y lo que efectivamente se ejecutará.</t>
  </si>
  <si>
    <t>Administrador de Obra / PM (Área Operativa)</t>
  </si>
  <si>
    <t>Carpeta de antecedentes traspasada (F1.5); planos; especificaciones técnicas; normativa vigente</t>
  </si>
  <si>
    <t>Antecedentes técnicos validados; observaciones de consistencia (si las hay)</t>
  </si>
  <si>
    <t>Checklist de revisión técnica</t>
  </si>
  <si>
    <t>F2.2</t>
  </si>
  <si>
    <t>Si se detectan inconsistencias entre lo vendido y los antecedentes técnicos → se escala a Comercial para aclarar antes de continuar (retorna a F2.1); si es consistente → continúa a F2.2</t>
  </si>
  <si>
    <t>Módulo de Documentación Técnica</t>
  </si>
  <si>
    <t>Elaboración del Acta de Constitución del Proyecto</t>
  </si>
  <si>
    <t>Documento que formaliza la existencia del proyecto, otorga autoridad al PM y define objetivos, alcance macro, hitos y supuestos/restricciones iniciales, sobre la base de los antecedentes técnicos ya validados.</t>
  </si>
  <si>
    <t>PM</t>
  </si>
  <si>
    <t>Antecedentes técnicos validados; contrato</t>
  </si>
  <si>
    <t>Acta de Constitución (Project Charter) aprobada</t>
  </si>
  <si>
    <t>Project Charter firmado por el patrocinador</t>
  </si>
  <si>
    <t>F2.3</t>
  </si>
  <si>
    <t>Módulo de Iniciación de Proyectos</t>
  </si>
  <si>
    <t>Interesados</t>
  </si>
  <si>
    <t>Identificación Preliminar de Interesados</t>
  </si>
  <si>
    <t>Levantamiento inicial de las partes interesadas (mandante, subcontratistas, comunidad, entes fiscalizadores) y su nivel de influencia/interés.</t>
  </si>
  <si>
    <t>Contrato; contexto del proyecto</t>
  </si>
  <si>
    <t>Registro preliminar de interesados</t>
  </si>
  <si>
    <t>Matriz de interesados (poder/interés)</t>
  </si>
  <si>
    <t>F2.4</t>
  </si>
  <si>
    <t>Módulo de Gestión de Interesados</t>
  </si>
  <si>
    <t>Comunicaciones / Interesados</t>
  </si>
  <si>
    <t>Kick-off de Partida con el Cliente (Día 1 - Inicio Oficial)</t>
  </si>
  <si>
    <t>Reunión formal que organiza el PM/Gerente de Proyecto con el cliente para revisar lo informado por el área Comercial respecto de lo comprado (alcance, plazos, condiciones) y validar su consistencia con los antecedentes técnicos (planos, especificaciones, normativa vigente). Esta reunión establece el Día 1 y la partida oficial del proyecto.</t>
  </si>
  <si>
    <t>PM / Gerente de Proyecto</t>
  </si>
  <si>
    <t>Acta de Constitución; antecedentes técnicos validados</t>
  </si>
  <si>
    <t>Acuerdos de partida validados con el cliente; Día 1 establecido</t>
  </si>
  <si>
    <t>Acta de Kick-off de Partida firmada (hito: Día 1)</t>
  </si>
  <si>
    <t>F2.5</t>
  </si>
  <si>
    <t>Módulo de Comunicaciones / Actas / Hitos</t>
  </si>
  <si>
    <t>Recursos</t>
  </si>
  <si>
    <t>Definición de la Estructura Organizacional y Planificación Preliminar de Recursos</t>
  </si>
  <si>
    <t>Elaboración del organigrama del proyecto y matriz RACI, y planificación preliminar de los recursos necesarios para desarrollar el proyecto en forma y en plazo, conforme a lo convenido con el área Comercial y la carta de proyecto validada por Operaciones.</t>
  </si>
  <si>
    <t>Equipo asignado; Kick-off de Partida realizado</t>
  </si>
  <si>
    <t>Organigrama, matriz RACI y planificación preliminar de recursos</t>
  </si>
  <si>
    <t>Organigrama y matriz RACI aprobados</t>
  </si>
  <si>
    <t>F3.1</t>
  </si>
  <si>
    <t>Alcance</t>
  </si>
  <si>
    <t>Definición y Validación del Alcance (EDT/WBS)</t>
  </si>
  <si>
    <t>Descomposición del alcance del proyecto en una Estructura de Desglose de Trabajo (EDT/WBS) validada con el mandante.</t>
  </si>
  <si>
    <t>PM + Equipo de Planificación</t>
  </si>
  <si>
    <t>Project Charter; especificaciones técnicas del contrato</t>
  </si>
  <si>
    <t>EDT/WBS aprobada; línea base de alcance</t>
  </si>
  <si>
    <t>Documento de EDT y diccionario de la EDT</t>
  </si>
  <si>
    <t>F3.2</t>
  </si>
  <si>
    <t>Módulo de Alcance / EDT</t>
  </si>
  <si>
    <t>Cronograma</t>
  </si>
  <si>
    <t>Elaboración del Cronograma Base</t>
  </si>
  <si>
    <t>Secuenciación de actividades, estimación de duraciones y construcción del cronograma (ruta crítica) a partir de la EDT.</t>
  </si>
  <si>
    <t>Planificador / PM</t>
  </si>
  <si>
    <t>EDT/WBS; rendimientos históricos</t>
  </si>
  <si>
    <t>Cronograma base (línea base de tiempo)</t>
  </si>
  <si>
    <t>Carta Gantt / diagrama de red aprobado</t>
  </si>
  <si>
    <t>F3.3</t>
  </si>
  <si>
    <t>Módulo de Cronograma / Motor EVM</t>
  </si>
  <si>
    <t>Costos</t>
  </si>
  <si>
    <t>Elaboración del Presupuesto y Línea Base de Costos</t>
  </si>
  <si>
    <t>Estimación de costos por actividad/paquete de trabajo y consolidación de la línea base de costos (Curva S planificada).</t>
  </si>
  <si>
    <t>Control de Gestión / PM</t>
  </si>
  <si>
    <t>EDT; cronograma base; precios unitarios del contrato</t>
  </si>
  <si>
    <t>Presupuesto aprobado; Curva S planificada (PV)</t>
  </si>
  <si>
    <t>Presupuesto línea base; Curva S base</t>
  </si>
  <si>
    <t>F3.4</t>
  </si>
  <si>
    <t>Módulo Financiero / Motor EVM (Curva S)</t>
  </si>
  <si>
    <t>Riesgos</t>
  </si>
  <si>
    <t>Plan de Gestión de Riesgos</t>
  </si>
  <si>
    <t>Identificación, análisis cualitativo/cuantitativo y planificación de respuesta a los riesgos del proyecto.</t>
  </si>
  <si>
    <t>PM + Equipo</t>
  </si>
  <si>
    <t>EDT; cronograma; contexto del proyecto</t>
  </si>
  <si>
    <t>Matriz de riesgos y plan de respuesta</t>
  </si>
  <si>
    <t>Registro de riesgos aprobado</t>
  </si>
  <si>
    <t>F3.5</t>
  </si>
  <si>
    <t>Módulo de Riesgos</t>
  </si>
  <si>
    <t>Adquisiciones</t>
  </si>
  <si>
    <t>Plan de Gestión de Adquisiciones y Subcontratos</t>
  </si>
  <si>
    <t>Definición de qué se comprará/subcontratará, criterios de selección de proveedores y cronograma de adquisiciones.</t>
  </si>
  <si>
    <t>Administrador de Contratos / Logística</t>
  </si>
  <si>
    <t>EDT; presupuesto; cronograma</t>
  </si>
  <si>
    <t>Plan de adquisiciones y subcontratación</t>
  </si>
  <si>
    <t>Plan de compras/subcontratos aprobado</t>
  </si>
  <si>
    <t>F3.6</t>
  </si>
  <si>
    <t>Módulo de Subcontratos / Proveedores</t>
  </si>
  <si>
    <t>Calidad</t>
  </si>
  <si>
    <t>Plan de Gestión de Calidad</t>
  </si>
  <si>
    <t>Definición de estándares de calidad aplicables, métricas de control y actividades de aseguramiento de calidad.</t>
  </si>
  <si>
    <t>Jefe de Calidad / PM</t>
  </si>
  <si>
    <t>Especificaciones técnicas del contrato</t>
  </si>
  <si>
    <t>Plan de calidad aprobado</t>
  </si>
  <si>
    <t>Plan de gestión de calidad</t>
  </si>
  <si>
    <t>F3.7</t>
  </si>
  <si>
    <t>Módulo de Calidad</t>
  </si>
  <si>
    <t>Comunicaciones / Recursos</t>
  </si>
  <si>
    <t>Plan de Comunicaciones y Gestión de Recursos</t>
  </si>
  <si>
    <t>Definición de canales, frecuencia y formato de informes, y del plan de asignación/adquisición de recursos humanos y materiales.</t>
  </si>
  <si>
    <t>Matriz de interesados; organigrama</t>
  </si>
  <si>
    <t>Plan de comunicaciones y plan de recursos</t>
  </si>
  <si>
    <t>Plan de comunicaciones; plan de recursos</t>
  </si>
  <si>
    <t>F3.8</t>
  </si>
  <si>
    <t>Módulo de Comunicaciones / RR.HH.</t>
  </si>
  <si>
    <t>Consolidación del Plan de Gestión del Proyecto</t>
  </si>
  <si>
    <t>Integración de todos los planes subsidiarios (alcance, cronograma, costos, riesgos, calidad, adquisiciones, comunicaciones) en un único Plan de Gestión del Proyecto.</t>
  </si>
  <si>
    <t>Planes subsidiarios aprobados</t>
  </si>
  <si>
    <t>Plan de Gestión del Proyecto consolidado</t>
  </si>
  <si>
    <t>Documento integrado del plan de gestión</t>
  </si>
  <si>
    <t>F3.9</t>
  </si>
  <si>
    <t>Módulo de Planificación Integrada</t>
  </si>
  <si>
    <t>Aprobación de la Línea Base del Proyecto</t>
  </si>
  <si>
    <t>Validación y aprobación formal (comité/patrocinador/mandante) de las líneas base de alcance, tiempo y costo antes de iniciar la ejecución.</t>
  </si>
  <si>
    <t>Patrocinador / Comité de Proyecto</t>
  </si>
  <si>
    <t>Plan de Gestión del Proyecto</t>
  </si>
  <si>
    <t>Línea base aprobada (baseline)</t>
  </si>
  <si>
    <t>Acta de aprobación de línea base</t>
  </si>
  <si>
    <t>F4.1</t>
  </si>
  <si>
    <t>Si se rechaza → vuelve a F3.1 (ajustes de planificación); si se aprueba → F4.1. También recibe el retorno de F5.7 cuando una variación de obra actualiza la línea base.</t>
  </si>
  <si>
    <t>Módulo de Aprobaciones / Workflow</t>
  </si>
  <si>
    <t>Movilización de Recursos</t>
  </si>
  <si>
    <t>Traslado e instalación de personal, equipos, maquinaria y materiales necesarios para el inicio físico de las actividades, conforme a la planificación preliminar de recursos definida en F2.5.</t>
  </si>
  <si>
    <t>Administrador de Obra/Terreno</t>
  </si>
  <si>
    <t>Plan de recursos; cronograma aprobado</t>
  </si>
  <si>
    <t>Recursos movilizados en terreno</t>
  </si>
  <si>
    <t>Acta de instalación de faena / checklist de movilización</t>
  </si>
  <si>
    <t>F4.2</t>
  </si>
  <si>
    <t>Módulo de Recursos / Logística</t>
  </si>
  <si>
    <t>Adquisiciones / Legal</t>
  </si>
  <si>
    <t>Gestión de Permisos y Permisología</t>
  </si>
  <si>
    <t>Gestión y tramitación de los permisos, licencias y autorizaciones normativas requeridas para la ejecución (municipales, sectoriales, ambientales, u otras aplicables), antes o durante el inicio de obra.</t>
  </si>
  <si>
    <t>Administrador de Contratos / Área Legal</t>
  </si>
  <si>
    <t>Normativa vigente aplicable; especificaciones del proyecto</t>
  </si>
  <si>
    <t>Permisos y autorizaciones obtenidos</t>
  </si>
  <si>
    <t>Resoluciones/permisos aprobados</t>
  </si>
  <si>
    <t>F4.3</t>
  </si>
  <si>
    <t>Si un permiso es rechazado u observado → se gestiona su subsanación y se reintenta (F4.2); si se aprueba → continúa a F4.3</t>
  </si>
  <si>
    <t>Módulo de Permisos / Cumplimiento Normativo</t>
  </si>
  <si>
    <t>Compra de Materiales e Importaciones</t>
  </si>
  <si>
    <t>Adquisición de materiales, equipos e insumos necesarios para la ejecución, incluyendo la gestión de procesos de importación cuando corresponda.</t>
  </si>
  <si>
    <t>Logística / Adquisiciones</t>
  </si>
  <si>
    <t>Plan de adquisiciones; EDT</t>
  </si>
  <si>
    <t>Materiales/equipos disponibles en obra</t>
  </si>
  <si>
    <t>Órdenes de compra; documentos de importación (según corresponda)</t>
  </si>
  <si>
    <t>F4.4</t>
  </si>
  <si>
    <t>Módulo de Logística / Adquisiciones</t>
  </si>
  <si>
    <t>Contratación y Asignación de Recurso Humano</t>
  </si>
  <si>
    <t>Selección, contratación y asignación del personal (propio o subcontratado) requerido para el desarrollo e implementación del proyecto.</t>
  </si>
  <si>
    <t>RR.HH. / Administrador de Obra</t>
  </si>
  <si>
    <t>Plan de recursos; organigrama del proyecto</t>
  </si>
  <si>
    <t>Personal contratado y asignado a la obra</t>
  </si>
  <si>
    <t>Contratos/asignaciones de personal</t>
  </si>
  <si>
    <t>F4.5</t>
  </si>
  <si>
    <t>Módulo de RR.HH.</t>
  </si>
  <si>
    <t>Alcance / Cronograma</t>
  </si>
  <si>
    <t>Ejecución de Actividades según EDT/Cronograma</t>
  </si>
  <si>
    <t>Desarrollo físico del trabajo planificado, registrando el avance real de cada actividad/paquete de trabajo.</t>
  </si>
  <si>
    <t>Equipo de Terreno / Operaciones</t>
  </si>
  <si>
    <t>Cronograma; EDT; instrucciones técnicas</t>
  </si>
  <si>
    <t>Avance físico registrado; entregables parciales</t>
  </si>
  <si>
    <t>Evidencia fotográfica georreferenciada; partes diarios</t>
  </si>
  <si>
    <t>F4.6</t>
  </si>
  <si>
    <t>Módulo de Terreno / Captura de Evidencia</t>
  </si>
  <si>
    <t>Gestión de Subcontratos y Proveedores</t>
  </si>
  <si>
    <t>Emisión de órdenes de compra/subcontratos, seguimiento de entregas y evaluación de desempeño de proveedores.</t>
  </si>
  <si>
    <t>Administrador de Contratos</t>
  </si>
  <si>
    <t>Plan de adquisiciones</t>
  </si>
  <si>
    <t>Órdenes de compra/subcontratos gestionados</t>
  </si>
  <si>
    <t>OC/subcontratos emitidos; estados de pago a proveedores</t>
  </si>
  <si>
    <t>F4.7</t>
  </si>
  <si>
    <t>Gestión de Anticipos y Facturación Mensual</t>
  </si>
  <si>
    <t>Tramitación de los anticipos contractuales y elaboración de los estados de pago/facturación mensual conforme al avance, para financiar la implementación del proyecto.</t>
  </si>
  <si>
    <t>Administrador de Contratos / Finanzas</t>
  </si>
  <si>
    <t>Avance físico; condiciones de pago del contrato</t>
  </si>
  <si>
    <t>Estado de pago mensual / factura emitida</t>
  </si>
  <si>
    <t>Estado de pago aprobado; factura; anticipo cursado</t>
  </si>
  <si>
    <t>F4.8</t>
  </si>
  <si>
    <t>Módulo Financiero / Facturación</t>
  </si>
  <si>
    <t>Aseguramiento de Calidad</t>
  </si>
  <si>
    <t>Ejecución de inspecciones y auditorías de calidad según el plan definido, para asegurar el cumplimiento de especificaciones.</t>
  </si>
  <si>
    <t>Jefe de Calidad</t>
  </si>
  <si>
    <t>Plan de calidad; avance de obra</t>
  </si>
  <si>
    <t>Registros de inspección; no conformidades detectadas</t>
  </si>
  <si>
    <t>Informes de inspección / actas de no conformidad</t>
  </si>
  <si>
    <t>F4.9</t>
  </si>
  <si>
    <t>Desarrollo y Gestión del Equipo</t>
  </si>
  <si>
    <t>Capacitación, resolución de conflictos y gestión del desempeño del equipo del proyecto durante la ejecución.</t>
  </si>
  <si>
    <t>PM / RR.HH.</t>
  </si>
  <si>
    <t>Plan de recursos</t>
  </si>
  <si>
    <t>Equipo capacitado y con desempeño gestionado</t>
  </si>
  <si>
    <t>Registros de capacitación; evaluaciones de desempeño</t>
  </si>
  <si>
    <t>F4.10</t>
  </si>
  <si>
    <t>Comunicaciones</t>
  </si>
  <si>
    <t>Informe Periódico de Avance</t>
  </si>
  <si>
    <t>Elaboración y distribución de informes de avance físico y financiero a los interesados clave (mandante, gerencia).</t>
  </si>
  <si>
    <t>Avance físico registrado; información financiera</t>
  </si>
  <si>
    <t>Informe de avance periódico</t>
  </si>
  <si>
    <t>Informe de avance (semanal/mensual) enviado</t>
  </si>
  <si>
    <t>F5.1</t>
  </si>
  <si>
    <t>Módulo de Reportería / Dashboard</t>
  </si>
  <si>
    <t>Cronograma / Costos (EVM)</t>
  </si>
  <si>
    <t>Medición del Avance Físico (% Avance)</t>
  </si>
  <si>
    <t>Verificación en terreno del porcentaje de avance real de cada actividad, con evidencia validada (candado metodológico).</t>
  </si>
  <si>
    <t>Administrador de Obra / Control de Proyectos</t>
  </si>
  <si>
    <t>Partes diarios; evidencia fotográfica georreferenciada</t>
  </si>
  <si>
    <t>% de avance físico validado</t>
  </si>
  <si>
    <t>Evidencia validada (foto + GPS + timestamp)</t>
  </si>
  <si>
    <t>F5.2</t>
  </si>
  <si>
    <t>Si la evidencia no es válida → se bloquea el Valor Ganado (EV) y vuelve a F4.5 para regularizar; si es válida → F5.2</t>
  </si>
  <si>
    <t>Motor EVM / Candado Metodológico</t>
  </si>
  <si>
    <t>Costos (EVM)</t>
  </si>
  <si>
    <t>Cálculo de Valor Ganado y Curva S (EV, PV, AC)</t>
  </si>
  <si>
    <t>Cálculo automático de Valor Planificado, Valor Ganado y Costo Real, y actualización de la Curva S del proyecto.</t>
  </si>
  <si>
    <t>Motor EVM (sistema) / Control de Proyectos</t>
  </si>
  <si>
    <t>% avance validado; presupuesto; costos reales</t>
  </si>
  <si>
    <t>EV, PV, AC; Curva S actualizada</t>
  </si>
  <si>
    <t>Reporte EVM del período</t>
  </si>
  <si>
    <t>F5.3</t>
  </si>
  <si>
    <t>Motor EVM (Curva S)</t>
  </si>
  <si>
    <t>Control de Cronograma y Costos (Índices SPI/CPI)</t>
  </si>
  <si>
    <t>Cálculo de índices de desempeño (SPI, CPI, SV, CV) y proyecciones (EAC, ETC, VAC) para evaluar la salud del proyecto.</t>
  </si>
  <si>
    <t>Control de Proyectos</t>
  </si>
  <si>
    <t>EV, PV, AC</t>
  </si>
  <si>
    <t>Indicadores de desempeño (SPI, CPI, EAC, ETC, VAC)</t>
  </si>
  <si>
    <t>Dashboard de indicadores</t>
  </si>
  <si>
    <t>F5.4</t>
  </si>
  <si>
    <t>Si SPI/CPI están fuera de umbral → activa Acción Correctiva (F5.4); si están dentro de umbral → continúa en F5.5</t>
  </si>
  <si>
    <t>Motor EVM / Dashboard</t>
  </si>
  <si>
    <t>Acción Correctiva / Replanificación</t>
  </si>
  <si>
    <t>Definición e implementación de medidas correctivas (recursos adicionales, reprogramación) cuando el proyecto se desvía de la línea base.</t>
  </si>
  <si>
    <t>Indicadores fuera de umbral</t>
  </si>
  <si>
    <t>Plan de acción correctiva</t>
  </si>
  <si>
    <t>Acta de acción correctiva</t>
  </si>
  <si>
    <t>F5.5</t>
  </si>
  <si>
    <t>Retorna en paralelo a F4.5 (ejecución ajustada) mientras continúa el flujo de control</t>
  </si>
  <si>
    <t>Módulo de Planificación / Alertas</t>
  </si>
  <si>
    <t>Integración (Control de Cambios)</t>
  </si>
  <si>
    <t>Identificación de Variaciones de Obra (Aumentos/Disminuciones/Adicionales)</t>
  </si>
  <si>
    <t>Detección durante la ejecución de variaciones respecto del alcance original (mayores obras, obras adicionales o disminuciones de obra) que requieren tratamiento formal como cambio.</t>
  </si>
  <si>
    <t>Administrador de Obra / PM</t>
  </si>
  <si>
    <t>Avance de obra; condiciones de terreno; requerimientos del mandante</t>
  </si>
  <si>
    <t>Variación de obra identificada y documentada</t>
  </si>
  <si>
    <t>Informe de variación / solicitud de aumento-disminución de obra</t>
  </si>
  <si>
    <t>F5.6</t>
  </si>
  <si>
    <t>Módulo de Gestión de Cambios</t>
  </si>
  <si>
    <t>Negociación del Acuerdo Económico de la Variación con el Mandante</t>
  </si>
  <si>
    <t>Negociación con el cliente/mandante del valor económico de la variación (aumento, disminución u obra adicional) y de su eventual impacto en el plazo del proyecto.</t>
  </si>
  <si>
    <t>PM / Administrador de Contratos</t>
  </si>
  <si>
    <t>Variación de obra documentada; presupuesto/precios unitarios del contrato</t>
  </si>
  <si>
    <t>Acuerdo económico de la variación (monto y plazo)</t>
  </si>
  <si>
    <t>Acta de acuerdo económico / anexo de contrato</t>
  </si>
  <si>
    <t>F5.7</t>
  </si>
  <si>
    <t>Si no hay acuerdo con el mandante → la variación no se incorpora y el proyecto retorna al monitoreo normal (F5.1); si hay acuerdo → avanza a F5.7 para su formalización</t>
  </si>
  <si>
    <t>Módulo de Gestión de Cambios / Financiero</t>
  </si>
  <si>
    <t>Gestión de Solicitud de Cambio y Actualización de Líneas Base</t>
  </si>
  <si>
    <t>Formalización de la variación acordada ante el comité de control de cambios, y actualización de las líneas base de alcance, cronograma y costo cuando corresponda.</t>
  </si>
  <si>
    <t>Comité de Control de Cambios</t>
  </si>
  <si>
    <t>Acuerdo económico de la variación</t>
  </si>
  <si>
    <t>Cambio aprobado; líneas base actualizadas</t>
  </si>
  <si>
    <t>Acta de comité de cambios; línea base actualizada</t>
  </si>
  <si>
    <t>F5.8</t>
  </si>
  <si>
    <t>Si se aprueba → actualiza líneas base (alcance/cronograma/costo) y retorna a F3.9 para fijar el nuevo baseline; si se rechaza → continúa el monitoreo en F5.8</t>
  </si>
  <si>
    <t>Control de Calidad y No Conformidades</t>
  </si>
  <si>
    <t>Verificación del cierre de no conformidades detectadas y seguimiento de acciones correctivas de calidad.</t>
  </si>
  <si>
    <t>Registros de no conformidad</t>
  </si>
  <si>
    <t>No conformidades cerradas</t>
  </si>
  <si>
    <t>Registro de cierre de no conformidades</t>
  </si>
  <si>
    <t>F5.9</t>
  </si>
  <si>
    <t>Seguimiento de Riesgos</t>
  </si>
  <si>
    <t>Revisión periódica del registro de riesgos, actualización de probabilidad/impacto e identificación de nuevos riesgos.</t>
  </si>
  <si>
    <t>Registro de riesgos</t>
  </si>
  <si>
    <t>Registro de riesgos actualizado</t>
  </si>
  <si>
    <t>Matriz de riesgos actualizada</t>
  </si>
  <si>
    <t>F5.10</t>
  </si>
  <si>
    <t>Informe de Desempeño del Proyecto</t>
  </si>
  <si>
    <t>Consolidación de indicadores EVM, calidad, riesgos y cambios en un informe integral para el mandante y la gerencia.</t>
  </si>
  <si>
    <t>Indicadores EVM; estado de calidad y riesgos</t>
  </si>
  <si>
    <t>Informe de desempeño integral</t>
  </si>
  <si>
    <t>Informe de desempeño (dashboard/reporte)</t>
  </si>
  <si>
    <t>F5.11</t>
  </si>
  <si>
    <t>Verificación de Cierre de Alcance</t>
  </si>
  <si>
    <t>Evaluación periódica de si el 100% del alcance contratado (incluidas las variaciones aprobadas) ha sido completado, para decidir el paso a cierre.</t>
  </si>
  <si>
    <t>% avance físico; EDT; variaciones aprobadas</t>
  </si>
  <si>
    <t>Determinación de cierre de alcance</t>
  </si>
  <si>
    <t>Checklist de cumplimiento de alcance</t>
  </si>
  <si>
    <t>F6.1</t>
  </si>
  <si>
    <t>Si alcance &lt; 100% → vuelve a F4.5 (continúa la ejecución); si alcance = 100% → avanza a F6.1</t>
  </si>
  <si>
    <t>Pruebas de Aceptación / Puesta en Marcha</t>
  </si>
  <si>
    <t>Ejecución de pruebas funcionales/operativas del entregable (commissioning) para verificar su correcto funcionamiento. Cuando el contrato lo exige, estas pruebas pueden ser validadas por un tercero certificador contratado, en lugar del propio mandante.</t>
  </si>
  <si>
    <t>Equipo Técnico / Calidad (o tercero certificador contratado)</t>
  </si>
  <si>
    <t>Entregable completado</t>
  </si>
  <si>
    <t>Resultados de pruebas de aceptación</t>
  </si>
  <si>
    <t>Protocolo de pruebas firmado</t>
  </si>
  <si>
    <t>F6.2</t>
  </si>
  <si>
    <t>Módulo de Calidad / Puesta en Marcha</t>
  </si>
  <si>
    <t>Alcance / Interesados</t>
  </si>
  <si>
    <t>Recepción Provisoria</t>
  </si>
  <si>
    <t>Inspección conjunta con el mandante -o con un tercero certificador que este contrate para validar y certificar la correcta instalación- para constatar el cumplimiento del alcance y levantar observaciones pendientes.</t>
  </si>
  <si>
    <t>Mandante (o tercero certificador contratado) + PM</t>
  </si>
  <si>
    <t>Acta de recepción provisoria (con o sin observaciones)</t>
  </si>
  <si>
    <t>Acta de recepción provisoria firmada</t>
  </si>
  <si>
    <t>F6.3</t>
  </si>
  <si>
    <t>Si hay observaciones → F6.3 (subsanación); si no hay observaciones → pasa directo a F6.4 (TOP)</t>
  </si>
  <si>
    <t>Módulo de Actas / Cierre</t>
  </si>
  <si>
    <t>Subsanación de Observaciones</t>
  </si>
  <si>
    <t>Corrección de las observaciones levantadas en la recepción provisoria dentro del plazo contractual definido.</t>
  </si>
  <si>
    <t>Equipo de Terreno</t>
  </si>
  <si>
    <t>Listado de observaciones (punch list)</t>
  </si>
  <si>
    <t>Observaciones subsanadas</t>
  </si>
  <si>
    <t>Checklist de cierre de observaciones</t>
  </si>
  <si>
    <t>Se repite hasta que el mandante (o el tercero certificador) valida el cierre de todas las observaciones → retorna a F6.2 para nueva verificación</t>
  </si>
  <si>
    <t>F6.4</t>
  </si>
  <si>
    <t>Elaboración y Entrega del TOP (Turnover Package) al Cliente</t>
  </si>
  <si>
    <t>Compilación y entrega formal al cliente del Turnover Package (TOP): el paquete completo de documentación técnica, operativa y contractual (planos as-built, manuales de operación y mantenimiento, protocolos de pruebas, certificados de calidad y de terceros, permisos, pólizas y garantías) que formaliza el cierre contractual y habilita el cierre operativo del proyecto.</t>
  </si>
  <si>
    <t>PM + Equipo Técnico</t>
  </si>
  <si>
    <t>Acta de recepción provisoria sin observaciones pendientes; documentación técnica, de calidad y de garantías del proyecto</t>
  </si>
  <si>
    <t>TOP entregado y validado por el cliente</t>
  </si>
  <si>
    <t>Acta de entrega y recepción del TOP firmada por el cliente</t>
  </si>
  <si>
    <t>F6.2 / F6.3</t>
  </si>
  <si>
    <t>F6.5</t>
  </si>
  <si>
    <t>Si el cliente observa documentación faltante o incompleta en el TOP → se completa y se reintenta (F6.4); si el TOP es aceptado → continúa a F6.5 (Recepción Final)</t>
  </si>
  <si>
    <t>Módulo de Documentación / Turnover Package</t>
  </si>
  <si>
    <t>Recepción Final / Definitiva</t>
  </si>
  <si>
    <t>Aceptación formal y definitiva del proyecto por parte del mandante, sin observaciones pendientes y con el TOP ya entregado y aceptado.</t>
  </si>
  <si>
    <t>Mandante + PM</t>
  </si>
  <si>
    <t>TOP aceptado por el cliente; observaciones subsanadas (si aplica)</t>
  </si>
  <si>
    <t>Acta de recepción conforme/definitiva</t>
  </si>
  <si>
    <t>Acta de recepción final firmada</t>
  </si>
  <si>
    <t>F6.6</t>
  </si>
  <si>
    <t>Costos / Adquisiciones</t>
  </si>
  <si>
    <t>Liquidación del Contrato</t>
  </si>
  <si>
    <t>Cálculo y aprobación del estado de pago final, incluyendo eventuales multas, mayores obras/variaciones acordadas o ajustes.</t>
  </si>
  <si>
    <t>Acta de recepción final; estados de pago históricos; variaciones aprobadas</t>
  </si>
  <si>
    <t>Estado de pago final aprobado</t>
  </si>
  <si>
    <t>Finiquito / estado de pago final</t>
  </si>
  <si>
    <t>F6.7</t>
  </si>
  <si>
    <t>Módulo Financiero</t>
  </si>
  <si>
    <t>Devolución/Canje de Garantías Contractuales</t>
  </si>
  <si>
    <t>Gestión de la devolución de la boleta de fiel cumplimiento y, cuando corresponda, canje por boleta de garantía técnica/correcta ejecución.</t>
  </si>
  <si>
    <t>Acta de recepción final; finiquito</t>
  </si>
  <si>
    <t>Garantía de fiel cumplimiento devuelta; garantía técnica vigente</t>
  </si>
  <si>
    <t>Comprobante de devolución/canje de boleta</t>
  </si>
  <si>
    <t>F6.8</t>
  </si>
  <si>
    <t>Módulo de Garantías</t>
  </si>
  <si>
    <t>Cierre Administrativo y Financiero</t>
  </si>
  <si>
    <t>Cierre formal de todas las cuentas, contratos con subcontratistas/proveedores y documentación administrativa del proyecto.</t>
  </si>
  <si>
    <t>PM + Finanzas</t>
  </si>
  <si>
    <t>Finiquito; contratos con terceros</t>
  </si>
  <si>
    <t>Proyecto cerrado administrativamente</t>
  </si>
  <si>
    <t>Checklist de cierre administrativo</t>
  </si>
  <si>
    <t>F6.9</t>
  </si>
  <si>
    <t>Módulo Financiero / Cierre</t>
  </si>
  <si>
    <t>Lecciones Aprendidas</t>
  </si>
  <si>
    <t>Registro estructurado de aprendizajes, buenas prácticas y problemas ocurridos durante el proyecto (incluidas las variaciones de obra) para futuros proyectos.</t>
  </si>
  <si>
    <t>Historial del proyecto (informes, incidencias, variaciones)</t>
  </si>
  <si>
    <t>Registro de lecciones aprendidas</t>
  </si>
  <si>
    <t>Documento de lecciones aprendidas</t>
  </si>
  <si>
    <t>F6.10</t>
  </si>
  <si>
    <t>Módulo de Conocimiento / Lecciones Aprendidas</t>
  </si>
  <si>
    <t>Alcance / Integración</t>
  </si>
  <si>
    <t>Elaboración del Dossier Técnico Interno (As-Built)</t>
  </si>
  <si>
    <t>Compilación del dossier técnico interno (equivalente ampliado del TOP) para uso del área de Postventa/Mantenimiento de la propia empresa, que será quien atienda la garantía.</t>
  </si>
  <si>
    <t>Equipo Técnico</t>
  </si>
  <si>
    <t>Registros de ejecución; TOP entregado al cliente</t>
  </si>
  <si>
    <t>Dossier técnico interno / carpeta as-built completa</t>
  </si>
  <si>
    <t>Dossier técnico interno entregado</t>
  </si>
  <si>
    <t>F7.1</t>
  </si>
  <si>
    <t>Capacitación al Equipo de Postventa/Mantenimiento</t>
  </si>
  <si>
    <t>Transferencia de conocimiento técnico y operativo al personal que asumirá la operación y mantenimiento del entregable.</t>
  </si>
  <si>
    <t>Equipo Técnico + Área de Postventa/Mantenimiento</t>
  </si>
  <si>
    <t>Dossier técnico interno; manuales O&amp;M</t>
  </si>
  <si>
    <t>Equipo de Postventa/Mantenimiento capacitado</t>
  </si>
  <si>
    <t>Registro de capacitación firmado</t>
  </si>
  <si>
    <t>F7.2</t>
  </si>
  <si>
    <t>Módulo de Capacitación</t>
  </si>
  <si>
    <t>Acta de Traspaso al Área de Postventa/Mantenimiento</t>
  </si>
  <si>
    <t>Entrega formal del proyecto, con toda su documentación, desde el equipo de proyecto (y el área Comercial) hacia el área de Postventa/Mantenimiento, dejando establecidas tanto la garantía de instalación/ejecución (a cargo de Operaciones) como la garantía comercial del producto o equipos vendidos (a cargo del área Comercial).</t>
  </si>
  <si>
    <t>PM + Jefe de Postventa/Mantenimiento + Área Comercial</t>
  </si>
  <si>
    <t>Dossier técnico interno; equipo capacitado</t>
  </si>
  <si>
    <t>Proyecto traspasado formalmente</t>
  </si>
  <si>
    <t>Acta de traspaso firmada por las partes</t>
  </si>
  <si>
    <t>F7.3</t>
  </si>
  <si>
    <t>Módulo de Traspaso / Actas</t>
  </si>
  <si>
    <t>Activación del Período de Garantía (Instalación y Producto)</t>
  </si>
  <si>
    <t>Registro formal del inicio y plazo de los períodos de garantía: la garantía técnica/de instalación (ejecutada por Operaciones) y la garantía comercial del producto o equipo vendido (a cargo de Comercial/proveedor), cada una con sus condiciones según el contrato.</t>
  </si>
  <si>
    <t>Administrador de Contratos + Área Comercial</t>
  </si>
  <si>
    <t>Acta de recepción final; contrato; condiciones de garantía de proveedores</t>
  </si>
  <si>
    <t>Períodos de garantía activados en el sistema</t>
  </si>
  <si>
    <t>Registro de plazos de garantía / pólizas vigentes</t>
  </si>
  <si>
    <t>F7.4</t>
  </si>
  <si>
    <t>Garantías (Post-Proyecto)</t>
  </si>
  <si>
    <t>Gestión de Solicitudes de Garantía</t>
  </si>
  <si>
    <t>Recepción, diagnóstico y resolución de fallas o defectos reportados durante el período de garantía, derivando el caso según corresponda a un defecto de instalación (Operaciones) o a un defecto de producto/equipo (proveedor/Comercial).</t>
  </si>
  <si>
    <t>Área de Postventa/Mantenimiento</t>
  </si>
  <si>
    <t>Ticket/solicitud de garantía</t>
  </si>
  <si>
    <t>Falla diagnosticada, derivada y reparada</t>
  </si>
  <si>
    <t>Orden de trabajo / ticket cerrado</t>
  </si>
  <si>
    <t>Se repite por cada solicitud durante el período de garantía; si expira el plazo sin nuevas solicitudes → avanza a F7.5</t>
  </si>
  <si>
    <t>Módulo de Tickets / Garantías (Mesa de Ayuda)</t>
  </si>
  <si>
    <t>F7.5</t>
  </si>
  <si>
    <t>Cierre del Período de Garantía</t>
  </si>
  <si>
    <t>Verificación de que los plazos de garantía (instalación y producto) han finalizado y no existen solicitudes pendientes.</t>
  </si>
  <si>
    <t>Registro de solicitudes de garantía</t>
  </si>
  <si>
    <t>Períodos de garantía cerrados</t>
  </si>
  <si>
    <t>Informe de cierre de garantía</t>
  </si>
  <si>
    <t>F7.6</t>
  </si>
  <si>
    <t>Integración / Adquisiciones</t>
  </si>
  <si>
    <t>Liberación Final de Garantías y Cierre Definitivo del Proyecto</t>
  </si>
  <si>
    <t>Devolución/liberación de la boleta de garantía técnica y cierre definitivo de todos los antecedentes del proyecto en el sistema.</t>
  </si>
  <si>
    <t>Administrador de Contratos + PM</t>
  </si>
  <si>
    <t>Cierre del período de garantía</t>
  </si>
  <si>
    <t>Proyecto cerrado definitivamente (archivo histórico)</t>
  </si>
  <si>
    <t>Comprobante de liberación de garantía técnica</t>
  </si>
  <si>
    <t>— (fin del flujo)</t>
  </si>
  <si>
    <t>Módulo de Archivo Histórico</t>
  </si>
  <si>
    <t>Diagrama de Flujo — Vista Gráfica (complementa la hoja Flujo_Detallado)</t>
  </si>
  <si>
    <t>Carriles por fase, de izquierda a derecha. Bordes rojos = punto de decisión. Líneas discontinuas rojas = retorno/bifurcación condicional (ver detalle exacto en Flujo_Detallado).</t>
  </si>
  <si>
    <t>Columna "¿Punto de Decisión?"</t>
  </si>
  <si>
    <t>Marca los nodos donde el flujo se bifurca (más de un posible paso siguiente), resaltados además en rojo (tabla y diagrama).</t>
  </si>
  <si>
    <t>Columna "Condición / Regla de Bifurcación"</t>
  </si>
  <si>
    <t>Regla de negocio en texto plano que un programador puede traducir directamente a condicionales (if/else) del motor de workflow.</t>
  </si>
  <si>
    <t>Loops / retornos</t>
  </si>
  <si>
    <t>Varios pasos retornan a un paso anterior: subsanación de observaciones (F6.3→F6.2), TOP incompleto (F6.4→F6.4), variación sin acuerdo económico (F5.6→F5.1), cambio aprobado que actualiza la línea base (F5.7→F3.9), o evidencia inválida que bloquea el EV (F5.1→F4.5). No son errores de secuencia, sino ciclos de corrección o actualización de línea base.</t>
  </si>
  <si>
    <t>F5 (Monitoreo y Control)</t>
  </si>
  <si>
    <t>En la práctica se ejecuta en paralelo a F4 (Ejecución), no estrictamente después; se numeró en forma secuencial solo para facilitar la lectura tabular del flujo.</t>
  </si>
  <si>
    <t>Variaciones de obra (F5.5-F5.7)</t>
  </si>
  <si>
    <t>Cubren tanto aumentos y obras adicionales como disminuciones de obra; el acuerdo económico con el mandante (F5.6) puede implicar ajuste de plazo, que se refleja en la actualización de la línea base de cronograma en F5.7.</t>
  </si>
  <si>
    <t>Certificación en el cierre (F6.1-F6.2)</t>
  </si>
  <si>
    <t>La validación de la correcta instalación puede ser realizada directamente por el mandante o por un tercero certificador que este contrate; el flujo no cambia, solo el responsable de validar.</t>
  </si>
  <si>
    <t>TOP - Turnover Package (F6.4)</t>
  </si>
  <si>
    <t>Paquete formal de documentación técnica, operativa y contractual entregado al cliente, distinto del Dossier Técnico interno (F6.10): el TOP cierra la relación contractual y operativa con el cliente; el dossier interno es el que usará el área de Postventa/Mantenimiento de la propia empresa para atender la garantía.</t>
  </si>
  <si>
    <t>F7 (Garantías y Traspaso a Postventa/Mantenimiento)</t>
  </si>
  <si>
    <t>Extiende el ciclo de vida más allá del cierre contractual clásico de PMBOK. Contempla dos garantías paralelas: la de instalación/ejecución (a cargo de Operaciones) y la comercial del producto o equipo vendido (a cargo de Comercial/proveedor), ambas gestionadas desde la mesa de garantías (F7.4).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</si>
</sst>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1"/>
      <color theme="1"/>
      <name val="Calibri"/>
      <family val="2"/>
      <charset val="1"/>
    </font>
    <font>
      <b/>
      <sz val="18"/>
      <color rgb="FF1F4E78"/>
      <name val="Arial"/>
      <charset val="1"/>
    </font>
    <font>
      <b/>
      <sz val="13"/>
      <color rgb="FF1F4E78"/>
      <name val="Arial"/>
      <charset val="1"/>
    </font>
    <font>
      <b/>
      <sz val="12"/>
      <color rgb="FF000000"/>
      <name val="Arial"/>
      <charset val="1"/>
    </font>
    <font>
      <sz val="11"/>
      <color rgb="FF000000"/>
      <name val="Arial"/>
      <charset val="1"/>
    </font>
    <font>
      <sz val="10"/>
      <color rgb="FF666666"/>
      <name val="Arial"/>
      <charset val="1"/>
    </font>
    <font>
      <b/>
      <sz val="11"/>
      <color rgb="FFFFFFFF"/>
      <name val="Arial"/>
      <charset val="1"/>
    </font>
    <font>
      <sz val="10"/>
      <name val="Arial"/>
      <charset val="1"/>
    </font>
    <font>
      <b/>
      <sz val="10"/>
      <color rgb="FFFFFFFF"/>
      <name val="Arial"/>
      <charset val="1"/>
    </font>
    <font>
      <sz val="9.5"/>
      <name val="Arial"/>
      <charset val="1"/>
    </font>
    <font>
      <b/>
      <sz val="9.5"/>
      <color rgb="FFC00000"/>
      <name val="Arial"/>
      <charset val="1"/>
    </font>
    <font>
      <i/>
      <sz val="9.5"/>
      <color rgb="FF666666"/>
      <name val="Arial"/>
      <charset val="1"/>
    </font>
    <font>
      <b/>
      <sz val="10"/>
      <name val="Arial"/>
      <charset val="1"/>
    </font>
  </fonts>
  <fills count="10">
    <fill>
      <patternFill patternType="none"/>
    </fill>
    <fill>
      <patternFill patternType="gray125"/>
    </fill>
    <fill>
      <patternFill patternType="solid">
        <fgColor rgb="FF1F4E78"/>
        <bgColor rgb="FF003366"/>
      </patternFill>
    </fill>
    <fill>
      <patternFill patternType="solid">
        <fgColor rgb="FFBDD7EE"/>
        <bgColor rgb="FFD9D2E9"/>
      </patternFill>
    </fill>
    <fill>
      <patternFill patternType="solid">
        <fgColor rgb="FFC6E0B4"/>
        <bgColor rgb="FFD9D9D9"/>
      </patternFill>
    </fill>
    <fill>
      <patternFill patternType="solid">
        <fgColor rgb="FFFFE699"/>
        <bgColor rgb="FFF8CBAD"/>
      </patternFill>
    </fill>
    <fill>
      <patternFill patternType="solid">
        <fgColor rgb="FFF8CBAD"/>
        <bgColor rgb="FFFFE699"/>
      </patternFill>
    </fill>
    <fill>
      <patternFill patternType="solid">
        <fgColor rgb="FFD9D2E9"/>
        <bgColor rgb="FFD9D9D9"/>
      </patternFill>
    </fill>
    <fill>
      <patternFill patternType="solid">
        <fgColor rgb="FFD9D9D9"/>
        <bgColor rgb="FFD9D2E9"/>
      </patternFill>
    </fill>
    <fill>
      <patternFill patternType="solid">
        <fgColor rgb="FF9DC3E6"/>
        <bgColor rgb="FFB7B7B7"/>
      </patternFill>
    </fill>
  </fills>
  <borders count="2">
    <border>
      <left/>
      <right/>
      <top/>
      <bottom/>
      <diagonal/>
    </border>
    <border>
      <left style="thin">
        <color rgb="FFB7B7B7"/>
      </left>
      <right style="thin">
        <color rgb="FFB7B7B7"/>
      </right>
      <top style="thin">
        <color rgb="FFB7B7B7"/>
      </top>
      <bottom style="thin">
        <color rgb="FFB7B7B7"/>
      </bottom>
      <diagonal/>
    </border>
  </borders>
  <cellStyleXfs count="1">
    <xf numFmtId="0" fontId="0" fillId="0" borderId="0"/>
  </cellStyleXfs>
  <cellXfs count="55">
    <xf numFmtId="0" fontId="0" fillId="0" borderId="0" xfId="0"/>
    <xf numFmtId="0" fontId="1" fillId="0" borderId="0" xfId="0" applyFont="1" applyAlignment="1">
      <alignment vertical="top" wrapText="1"/>
    </xf>
    <xf numFmtId="0" fontId="2" fillId="0" borderId="0" xfId="0" applyFont="1" applyAlignment="1">
      <alignment vertical="top" wrapText="1"/>
    </xf>
    <xf numFmtId="0" fontId="3" fillId="0" borderId="0" xfId="0" applyFont="1" applyAlignment="1">
      <alignment vertical="top" wrapText="1"/>
    </xf>
    <xf numFmtId="0" fontId="4" fillId="0" borderId="0" xfId="0" applyFont="1" applyAlignment="1">
      <alignment vertical="top" wrapText="1"/>
    </xf>
    <xf numFmtId="0" fontId="5" fillId="0" borderId="0" xfId="0" applyFont="1" applyAlignment="1">
      <alignment vertical="top" wrapText="1"/>
    </xf>
    <xf numFmtId="0" fontId="6" fillId="2" borderId="1" xfId="0" applyFont="1" applyFill="1" applyBorder="1" applyAlignment="1">
      <alignment horizontal="center" vertical="center" wrapText="1"/>
    </xf>
    <xf numFmtId="0" fontId="7" fillId="3" borderId="1" xfId="0" applyFont="1" applyFill="1" applyBorder="1" applyAlignment="1">
      <alignment horizontal="center" vertical="top" wrapText="1"/>
    </xf>
    <xf numFmtId="0" fontId="7" fillId="3" borderId="1" xfId="0" applyFont="1" applyFill="1" applyBorder="1" applyAlignment="1">
      <alignment horizontal="left" vertical="top" wrapText="1"/>
    </xf>
    <xf numFmtId="0" fontId="7" fillId="4" borderId="1" xfId="0" applyFont="1" applyFill="1" applyBorder="1" applyAlignment="1">
      <alignment horizontal="center" vertical="top" wrapText="1"/>
    </xf>
    <xf numFmtId="0" fontId="7" fillId="4" borderId="1" xfId="0" applyFont="1" applyFill="1" applyBorder="1" applyAlignment="1">
      <alignment horizontal="left" vertical="top" wrapText="1"/>
    </xf>
    <xf numFmtId="0" fontId="7" fillId="5" borderId="1" xfId="0" applyFont="1" applyFill="1" applyBorder="1" applyAlignment="1">
      <alignment horizontal="center" vertical="top" wrapText="1"/>
    </xf>
    <xf numFmtId="0" fontId="7" fillId="5" borderId="1" xfId="0" applyFont="1" applyFill="1" applyBorder="1" applyAlignment="1">
      <alignment horizontal="left" vertical="top" wrapText="1"/>
    </xf>
    <xf numFmtId="0" fontId="7" fillId="6" borderId="1" xfId="0" applyFont="1" applyFill="1" applyBorder="1" applyAlignment="1">
      <alignment horizontal="center" vertical="top" wrapText="1"/>
    </xf>
    <xf numFmtId="0" fontId="7" fillId="6" borderId="1" xfId="0" applyFont="1" applyFill="1" applyBorder="1" applyAlignment="1">
      <alignment horizontal="left" vertical="top" wrapText="1"/>
    </xf>
    <xf numFmtId="0" fontId="7" fillId="7" borderId="1" xfId="0" applyFont="1" applyFill="1" applyBorder="1" applyAlignment="1">
      <alignment horizontal="center" vertical="top" wrapText="1"/>
    </xf>
    <xf numFmtId="0" fontId="7" fillId="7" borderId="1" xfId="0" applyFont="1" applyFill="1" applyBorder="1" applyAlignment="1">
      <alignment horizontal="left" vertical="top" wrapText="1"/>
    </xf>
    <xf numFmtId="0" fontId="7" fillId="8" borderId="1" xfId="0" applyFont="1" applyFill="1" applyBorder="1" applyAlignment="1">
      <alignment horizontal="center" vertical="top" wrapText="1"/>
    </xf>
    <xf numFmtId="0" fontId="7" fillId="8" borderId="1" xfId="0" applyFont="1" applyFill="1" applyBorder="1" applyAlignment="1">
      <alignment horizontal="left" vertical="top" wrapText="1"/>
    </xf>
    <xf numFmtId="0" fontId="7" fillId="9" borderId="1" xfId="0" applyFont="1" applyFill="1" applyBorder="1" applyAlignment="1">
      <alignment horizontal="center" vertical="top" wrapText="1"/>
    </xf>
    <xf numFmtId="0" fontId="7" fillId="9" borderId="1" xfId="0" applyFont="1" applyFill="1" applyBorder="1" applyAlignment="1">
      <alignment horizontal="left" vertical="top" wrapText="1"/>
    </xf>
    <xf numFmtId="0" fontId="8" fillId="2" borderId="1" xfId="0" applyFont="1" applyFill="1" applyBorder="1" applyAlignment="1">
      <alignment horizontal="center" vertical="center" wrapText="1"/>
    </xf>
    <xf numFmtId="0" fontId="9" fillId="3" borderId="1" xfId="0" applyFont="1" applyFill="1" applyBorder="1" applyAlignment="1">
      <alignment horizontal="center" vertical="top" wrapText="1"/>
    </xf>
    <xf numFmtId="0" fontId="9" fillId="3" borderId="1" xfId="0" applyFont="1" applyFill="1" applyBorder="1" applyAlignment="1">
      <alignment horizontal="left" vertical="top" wrapText="1"/>
    </xf>
    <xf numFmtId="0" fontId="10" fillId="3" borderId="1" xfId="0" applyFont="1" applyFill="1" applyBorder="1" applyAlignment="1">
      <alignment horizontal="center" vertical="top" wrapText="1"/>
    </xf>
    <xf numFmtId="0" fontId="9" fillId="4" borderId="1" xfId="0" applyFont="1" applyFill="1" applyBorder="1" applyAlignment="1">
      <alignment horizontal="center" vertical="top" wrapText="1"/>
    </xf>
    <xf numFmtId="0" fontId="9" fillId="4" borderId="1" xfId="0" applyFont="1" applyFill="1" applyBorder="1" applyAlignment="1">
      <alignment horizontal="left" vertical="top" wrapText="1"/>
    </xf>
    <xf numFmtId="0" fontId="10" fillId="4" borderId="1" xfId="0" applyFont="1" applyFill="1" applyBorder="1" applyAlignment="1">
      <alignment horizontal="center" vertical="top" wrapText="1"/>
    </xf>
    <xf numFmtId="0" fontId="9" fillId="5" borderId="1" xfId="0" applyFont="1" applyFill="1" applyBorder="1" applyAlignment="1">
      <alignment horizontal="center" vertical="top" wrapText="1"/>
    </xf>
    <xf numFmtId="0" fontId="9" fillId="5" borderId="1" xfId="0" applyFont="1" applyFill="1" applyBorder="1" applyAlignment="1">
      <alignment horizontal="left" vertical="top" wrapText="1"/>
    </xf>
    <xf numFmtId="0" fontId="10" fillId="5" borderId="1" xfId="0" applyFont="1" applyFill="1" applyBorder="1" applyAlignment="1">
      <alignment horizontal="center" vertical="top" wrapText="1"/>
    </xf>
    <xf numFmtId="0" fontId="9" fillId="6" borderId="1" xfId="0" applyFont="1" applyFill="1" applyBorder="1" applyAlignment="1">
      <alignment horizontal="center" vertical="top" wrapText="1"/>
    </xf>
    <xf numFmtId="0" fontId="9" fillId="6" borderId="1" xfId="0" applyFont="1" applyFill="1" applyBorder="1" applyAlignment="1">
      <alignment horizontal="left" vertical="top" wrapText="1"/>
    </xf>
    <xf numFmtId="0" fontId="10" fillId="6" borderId="1" xfId="0" applyFont="1" applyFill="1" applyBorder="1" applyAlignment="1">
      <alignment horizontal="center" vertical="top" wrapText="1"/>
    </xf>
    <xf numFmtId="0" fontId="9" fillId="7" borderId="1" xfId="0" applyFont="1" applyFill="1" applyBorder="1" applyAlignment="1">
      <alignment horizontal="center" vertical="top" wrapText="1"/>
    </xf>
    <xf numFmtId="0" fontId="9" fillId="7" borderId="1" xfId="0" applyFont="1" applyFill="1" applyBorder="1" applyAlignment="1">
      <alignment horizontal="left" vertical="top" wrapText="1"/>
    </xf>
    <xf numFmtId="0" fontId="10" fillId="7" borderId="1" xfId="0" applyFont="1" applyFill="1" applyBorder="1" applyAlignment="1">
      <alignment horizontal="center" vertical="top" wrapText="1"/>
    </xf>
    <xf numFmtId="0" fontId="9" fillId="8" borderId="1" xfId="0" applyFont="1" applyFill="1" applyBorder="1" applyAlignment="1">
      <alignment horizontal="center" vertical="top" wrapText="1"/>
    </xf>
    <xf numFmtId="0" fontId="9" fillId="8" borderId="1" xfId="0" applyFont="1" applyFill="1" applyBorder="1" applyAlignment="1">
      <alignment horizontal="left" vertical="top" wrapText="1"/>
    </xf>
    <xf numFmtId="0" fontId="10" fillId="8" borderId="1" xfId="0" applyFont="1" applyFill="1" applyBorder="1" applyAlignment="1">
      <alignment horizontal="center" vertical="top" wrapText="1"/>
    </xf>
    <xf numFmtId="0" fontId="9" fillId="9" borderId="1" xfId="0" applyFont="1" applyFill="1" applyBorder="1" applyAlignment="1">
      <alignment horizontal="center" vertical="top" wrapText="1"/>
    </xf>
    <xf numFmtId="0" fontId="9" fillId="9" borderId="1" xfId="0" applyFont="1" applyFill="1" applyBorder="1" applyAlignment="1">
      <alignment horizontal="left" vertical="top" wrapText="1"/>
    </xf>
    <xf numFmtId="0" fontId="10" fillId="9" borderId="1" xfId="0" applyFont="1" applyFill="1" applyBorder="1" applyAlignment="1">
      <alignment horizontal="center" vertical="top" wrapText="1"/>
    </xf>
    <xf numFmtId="0" fontId="2" fillId="0" borderId="0" xfId="0" applyFont="1"/>
    <xf numFmtId="0" fontId="11" fillId="0" borderId="0" xfId="0" applyFont="1"/>
    <xf numFmtId="0" fontId="6" fillId="2" borderId="0" xfId="0" applyFont="1" applyFill="1"/>
    <xf numFmtId="0" fontId="12" fillId="3" borderId="0" xfId="0" applyFont="1" applyFill="1" applyAlignment="1">
      <alignment vertical="top" wrapText="1"/>
    </xf>
    <xf numFmtId="0" fontId="7" fillId="0" borderId="0" xfId="0" applyFont="1" applyAlignment="1">
      <alignment vertical="top" wrapText="1"/>
    </xf>
    <xf numFmtId="0" fontId="12" fillId="4" borderId="0" xfId="0" applyFont="1" applyFill="1" applyAlignment="1">
      <alignment vertical="top" wrapText="1"/>
    </xf>
    <xf numFmtId="0" fontId="12" fillId="5" borderId="0" xfId="0" applyFont="1" applyFill="1" applyAlignment="1">
      <alignment vertical="top" wrapText="1"/>
    </xf>
    <xf numFmtId="0" fontId="12" fillId="6" borderId="0" xfId="0" applyFont="1" applyFill="1" applyAlignment="1">
      <alignment vertical="top" wrapText="1"/>
    </xf>
    <xf numFmtId="0" fontId="12" fillId="7" borderId="0" xfId="0" applyFont="1" applyFill="1" applyAlignment="1">
      <alignment vertical="top" wrapText="1"/>
    </xf>
    <xf numFmtId="0" fontId="12" fillId="8" borderId="0" xfId="0" applyFont="1" applyFill="1" applyAlignment="1">
      <alignment vertical="top" wrapText="1"/>
    </xf>
    <xf numFmtId="0" fontId="12" fillId="9" borderId="0" xfId="0" applyFont="1" applyFill="1" applyAlignment="1">
      <alignment vertical="top" wrapText="1"/>
    </xf>
    <xf numFmtId="0" fontId="12" fillId="0" borderId="0" xfId="0" applyFont="1" applyAlignment="1">
      <alignment vertical="top" wrapText="1"/>
    </xf>
  </cellXfs>
  <cellStyles count="1">
    <cellStyle name="Normal" xfId="0" builtinId="0"/>
  </cellStyles>
  <dxfs count="0"/>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7B7B7"/>
      <rgbColor rgb="FF808080"/>
      <rgbColor rgb="FF9999FF"/>
      <rgbColor rgb="FF993366"/>
      <rgbColor rgb="FFFFFFCC"/>
      <rgbColor rgb="FFBDD7EE"/>
      <rgbColor rgb="FF660066"/>
      <rgbColor rgb="FFFF8080"/>
      <rgbColor rgb="FF0066CC"/>
      <rgbColor rgb="FFD9D2E9"/>
      <rgbColor rgb="FF000080"/>
      <rgbColor rgb="FFFF00FF"/>
      <rgbColor rgb="FFFFFF00"/>
      <rgbColor rgb="FF00FFFF"/>
      <rgbColor rgb="FF800080"/>
      <rgbColor rgb="FF800000"/>
      <rgbColor rgb="FF008080"/>
      <rgbColor rgb="FF0000FF"/>
      <rgbColor rgb="FF00CCFF"/>
      <rgbColor rgb="FFD9D9D9"/>
      <rgbColor rgb="FFC6E0B4"/>
      <rgbColor rgb="FFFFE699"/>
      <rgbColor rgb="FF9DC3E6"/>
      <rgbColor rgb="FFFF99CC"/>
      <rgbColor rgb="FFCC99FF"/>
      <rgbColor rgb="FFF8CBAD"/>
      <rgbColor rgb="FF3366FF"/>
      <rgbColor rgb="FF33CCCC"/>
      <rgbColor rgb="FF99CC00"/>
      <rgbColor rgb="FFFFCC00"/>
      <rgbColor rgb="FFFF9900"/>
      <rgbColor rgb="FFFF6600"/>
      <rgbColor rgb="FF666666"/>
      <rgbColor rgb="FF969696"/>
      <rgbColor rgb="FF003366"/>
      <rgbColor rgb="FF339966"/>
      <rgbColor rgb="FF003300"/>
      <rgbColor rgb="FF333300"/>
      <rgbColor rgb="FF993300"/>
      <rgbColor rgb="FF993366"/>
      <rgbColor rgb="FF1F4E78"/>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2</xdr:row>
      <xdr:rowOff>176040</xdr:rowOff>
    </xdr:from>
    <xdr:to>
      <xdr:col>23</xdr:col>
      <xdr:colOff>222840</xdr:colOff>
      <xdr:row>67</xdr:row>
      <xdr:rowOff>4065</xdr:rowOff>
    </xdr:to>
    <xdr:pic>
      <xdr:nvPicPr>
        <xdr:cNvPr id="2" name="Image 1" descr="Picture">
          <a:extLst>
            <a:ext uri="{FF2B5EF4-FFF2-40B4-BE49-F238E27FC236}">
              <a16:creationId xmlns:a16="http://schemas.microsoft.com/office/drawing/2014/main" id="{00000000-0008-0000-0300-000002000000}"/>
            </a:ext>
          </a:extLst>
        </xdr:cNvPr>
        <xdr:cNvPicPr/>
      </xdr:nvPicPr>
      <xdr:blipFill>
        <a:blip xmlns:r="http://schemas.openxmlformats.org/officeDocument/2006/relationships" r:embed="rId1"/>
        <a:stretch/>
      </xdr:blipFill>
      <xdr:spPr>
        <a:xfrm>
          <a:off x="0" y="571680"/>
          <a:ext cx="14287320" cy="12201120"/>
        </a:xfrm>
        <a:prstGeom prst="rect">
          <a:avLst/>
        </a:prstGeom>
        <a:ln w="0">
          <a:noFill/>
        </a:ln>
      </xdr:spPr>
    </xdr:pic>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B23"/>
  <sheetViews>
    <sheetView showGridLines="0" zoomScaleNormal="100" workbookViewId="0"/>
  </sheetViews>
  <sheetFormatPr defaultColWidth="8.5703125" defaultRowHeight="14.45"/>
  <cols>
    <col min="1" max="1" width="4" customWidth="1"/>
    <col min="2" max="2" width="112" customWidth="1"/>
  </cols>
  <sheetData>
    <row r="2" spans="2:2" ht="23.1">
      <c r="B2" s="1" t="s">
        <v>0</v>
      </c>
    </row>
    <row r="3" spans="2:2" ht="16.5">
      <c r="B3" s="2" t="s">
        <v>1</v>
      </c>
    </row>
    <row r="5" spans="2:2" ht="15.6">
      <c r="B5" s="3" t="s">
        <v>2</v>
      </c>
    </row>
    <row r="6" spans="2:2" ht="98.1">
      <c r="B6" s="4" t="s">
        <v>3</v>
      </c>
    </row>
    <row r="8" spans="2:2" ht="15.6">
      <c r="B8" s="3" t="s">
        <v>4</v>
      </c>
    </row>
    <row r="9" spans="2:2" ht="56.1">
      <c r="B9" s="4" t="s">
        <v>5</v>
      </c>
    </row>
    <row r="11" spans="2:2" ht="15.6">
      <c r="B11" s="3" t="s">
        <v>6</v>
      </c>
    </row>
    <row r="12" spans="2:2" ht="111.95">
      <c r="B12" s="4" t="s">
        <v>7</v>
      </c>
    </row>
    <row r="14" spans="2:2" ht="15.6">
      <c r="B14" s="3" t="s">
        <v>8</v>
      </c>
    </row>
    <row r="15" spans="2:2" ht="27.95">
      <c r="B15" s="4" t="s">
        <v>9</v>
      </c>
    </row>
    <row r="16" spans="2:2" ht="27.95">
      <c r="B16" s="4" t="s">
        <v>10</v>
      </c>
    </row>
    <row r="17" spans="2:2" ht="27.95">
      <c r="B17" s="4" t="s">
        <v>11</v>
      </c>
    </row>
    <row r="18" spans="2:2" ht="27.95">
      <c r="B18" s="4" t="s">
        <v>12</v>
      </c>
    </row>
    <row r="19" spans="2:2" ht="27.95">
      <c r="B19" s="4" t="s">
        <v>13</v>
      </c>
    </row>
    <row r="20" spans="2:2" ht="42">
      <c r="B20" s="4" t="s">
        <v>14</v>
      </c>
    </row>
    <row r="21" spans="2:2" ht="42">
      <c r="B21" s="4" t="s">
        <v>15</v>
      </c>
    </row>
    <row r="23" spans="2:2" ht="24.95">
      <c r="B23" s="5" t="s">
        <v>16</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8"/>
  <sheetViews>
    <sheetView zoomScaleNormal="100" workbookViewId="0">
      <pane ySplit="1" topLeftCell="A2" activePane="bottomLeft" state="frozen"/>
      <selection pane="bottomLeft"/>
    </sheetView>
  </sheetViews>
  <sheetFormatPr defaultColWidth="8.5703125" defaultRowHeight="14.45"/>
  <cols>
    <col min="1" max="1" width="7" customWidth="1"/>
    <col min="2" max="2" width="34" customWidth="1"/>
    <col min="3" max="3" width="28" customWidth="1"/>
    <col min="4" max="4" width="48" customWidth="1"/>
    <col min="5" max="6" width="34" customWidth="1"/>
    <col min="7" max="7" width="11" customWidth="1"/>
  </cols>
  <sheetData>
    <row r="1" spans="1:7" ht="27.95">
      <c r="A1" s="6" t="s">
        <v>17</v>
      </c>
      <c r="B1" s="6" t="s">
        <v>18</v>
      </c>
      <c r="C1" s="6" t="s">
        <v>19</v>
      </c>
      <c r="D1" s="6" t="s">
        <v>20</v>
      </c>
      <c r="E1" s="6" t="s">
        <v>21</v>
      </c>
      <c r="F1" s="6" t="s">
        <v>22</v>
      </c>
      <c r="G1" s="6" t="s">
        <v>23</v>
      </c>
    </row>
    <row r="2" spans="1:7" ht="67.5" customHeight="1">
      <c r="A2" s="7" t="s">
        <v>24</v>
      </c>
      <c r="B2" s="8" t="s">
        <v>25</v>
      </c>
      <c r="C2" s="8" t="s">
        <v>26</v>
      </c>
      <c r="D2" s="8" t="s">
        <v>27</v>
      </c>
      <c r="E2" s="8" t="s">
        <v>28</v>
      </c>
      <c r="F2" s="8" t="s">
        <v>29</v>
      </c>
      <c r="G2" s="7">
        <f>COUNTIF(Flujo_Detallado!$B$2:$B$200,Resumen_Fases!$B2)</f>
        <v>5</v>
      </c>
    </row>
    <row r="3" spans="1:7" ht="67.5" customHeight="1">
      <c r="A3" s="9" t="s">
        <v>30</v>
      </c>
      <c r="B3" s="10" t="s">
        <v>31</v>
      </c>
      <c r="C3" s="10" t="s">
        <v>32</v>
      </c>
      <c r="D3" s="10" t="s">
        <v>33</v>
      </c>
      <c r="E3" s="10" t="s">
        <v>34</v>
      </c>
      <c r="F3" s="10" t="s">
        <v>35</v>
      </c>
      <c r="G3" s="9">
        <f>COUNTIF(Flujo_Detallado!$B$2:$B$200,Resumen_Fases!$B3)</f>
        <v>5</v>
      </c>
    </row>
    <row r="4" spans="1:7" ht="67.5" customHeight="1">
      <c r="A4" s="11" t="s">
        <v>36</v>
      </c>
      <c r="B4" s="12" t="s">
        <v>37</v>
      </c>
      <c r="C4" s="12" t="s">
        <v>38</v>
      </c>
      <c r="D4" s="12" t="s">
        <v>39</v>
      </c>
      <c r="E4" s="12" t="s">
        <v>40</v>
      </c>
      <c r="F4" s="12" t="s">
        <v>41</v>
      </c>
      <c r="G4" s="11">
        <f>COUNTIF(Flujo_Detallado!$B$2:$B$200,Resumen_Fases!$B4)</f>
        <v>9</v>
      </c>
    </row>
    <row r="5" spans="1:7" ht="67.5" customHeight="1">
      <c r="A5" s="13" t="s">
        <v>42</v>
      </c>
      <c r="B5" s="14" t="s">
        <v>43</v>
      </c>
      <c r="C5" s="14" t="s">
        <v>44</v>
      </c>
      <c r="D5" s="14" t="s">
        <v>45</v>
      </c>
      <c r="E5" s="14" t="s">
        <v>46</v>
      </c>
      <c r="F5" s="14" t="s">
        <v>47</v>
      </c>
      <c r="G5" s="13">
        <f>COUNTIF(Flujo_Detallado!$B$2:$B$200,Resumen_Fases!$B5)</f>
        <v>10</v>
      </c>
    </row>
    <row r="6" spans="1:7" ht="67.5" customHeight="1">
      <c r="A6" s="15" t="s">
        <v>48</v>
      </c>
      <c r="B6" s="16" t="s">
        <v>49</v>
      </c>
      <c r="C6" s="16" t="s">
        <v>50</v>
      </c>
      <c r="D6" s="16" t="s">
        <v>51</v>
      </c>
      <c r="E6" s="16" t="s">
        <v>52</v>
      </c>
      <c r="F6" s="16" t="s">
        <v>53</v>
      </c>
      <c r="G6" s="15">
        <f>COUNTIF(Flujo_Detallado!$B$2:$B$200,Resumen_Fases!$B6)</f>
        <v>11</v>
      </c>
    </row>
    <row r="7" spans="1:7" ht="67.5" customHeight="1">
      <c r="A7" s="17" t="s">
        <v>54</v>
      </c>
      <c r="B7" s="18" t="s">
        <v>55</v>
      </c>
      <c r="C7" s="18" t="s">
        <v>56</v>
      </c>
      <c r="D7" s="18" t="s">
        <v>57</v>
      </c>
      <c r="E7" s="18" t="s">
        <v>58</v>
      </c>
      <c r="F7" s="18" t="s">
        <v>59</v>
      </c>
      <c r="G7" s="17">
        <f>COUNTIF(Flujo_Detallado!$B$2:$B$200,Resumen_Fases!$B7)</f>
        <v>10</v>
      </c>
    </row>
    <row r="8" spans="1:7" ht="67.5" customHeight="1">
      <c r="A8" s="19" t="s">
        <v>60</v>
      </c>
      <c r="B8" s="20" t="s">
        <v>61</v>
      </c>
      <c r="C8" s="20" t="s">
        <v>62</v>
      </c>
      <c r="D8" s="20" t="s">
        <v>63</v>
      </c>
      <c r="E8" s="20" t="s">
        <v>64</v>
      </c>
      <c r="F8" s="20" t="s">
        <v>65</v>
      </c>
      <c r="G8" s="19">
        <f>COUNTIF(Flujo_Detallado!$B$2:$B$200,Resumen_Fases!$B8)</f>
        <v>6</v>
      </c>
    </row>
  </sheetData>
  <autoFilter ref="A1:G8" xr:uid="{00000000-0009-0000-0000-000001000000}"/>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O57"/>
  <sheetViews>
    <sheetView zoomScale="90" zoomScaleNormal="90" workbookViewId="0">
      <pane ySplit="1" topLeftCell="A49" activePane="bottomLeft" state="frozen"/>
      <selection pane="bottomLeft"/>
    </sheetView>
  </sheetViews>
  <sheetFormatPr defaultColWidth="8.5703125" defaultRowHeight="14.45"/>
  <cols>
    <col min="1" max="1" width="8" customWidth="1"/>
    <col min="2" max="2" width="30" customWidth="1"/>
    <col min="3" max="3" width="20" customWidth="1"/>
    <col min="4" max="4" width="24" customWidth="1"/>
    <col min="5" max="5" width="32" customWidth="1"/>
    <col min="6" max="6" width="48" customWidth="1"/>
    <col min="7" max="7" width="26" customWidth="1"/>
    <col min="8" max="9" width="28" customWidth="1"/>
    <col min="10" max="10" width="26" customWidth="1"/>
    <col min="11" max="12" width="12" customWidth="1"/>
    <col min="13" max="13" width="10" customWidth="1"/>
    <col min="14" max="14" width="44" customWidth="1"/>
    <col min="15" max="15" width="26" customWidth="1"/>
  </cols>
  <sheetData>
    <row r="1" spans="1:15" ht="26.1">
      <c r="A1" s="21" t="s">
        <v>66</v>
      </c>
      <c r="B1" s="21" t="s">
        <v>67</v>
      </c>
      <c r="C1" s="21" t="s">
        <v>19</v>
      </c>
      <c r="D1" s="21" t="s">
        <v>68</v>
      </c>
      <c r="E1" s="21" t="s">
        <v>69</v>
      </c>
      <c r="F1" s="21" t="s">
        <v>70</v>
      </c>
      <c r="G1" s="21" t="s">
        <v>71</v>
      </c>
      <c r="H1" s="21" t="s">
        <v>72</v>
      </c>
      <c r="I1" s="21" t="s">
        <v>73</v>
      </c>
      <c r="J1" s="21" t="s">
        <v>74</v>
      </c>
      <c r="K1" s="21" t="s">
        <v>75</v>
      </c>
      <c r="L1" s="21" t="s">
        <v>76</v>
      </c>
      <c r="M1" s="21" t="s">
        <v>77</v>
      </c>
      <c r="N1" s="21" t="s">
        <v>78</v>
      </c>
      <c r="O1" s="21" t="s">
        <v>79</v>
      </c>
    </row>
    <row r="2" spans="1:15" ht="61.5" customHeight="1">
      <c r="A2" s="22" t="s">
        <v>80</v>
      </c>
      <c r="B2" s="23" t="s">
        <v>25</v>
      </c>
      <c r="C2" s="23" t="s">
        <v>26</v>
      </c>
      <c r="D2" s="23" t="s">
        <v>81</v>
      </c>
      <c r="E2" s="23" t="s">
        <v>82</v>
      </c>
      <c r="F2" s="23" t="s">
        <v>83</v>
      </c>
      <c r="G2" s="23" t="s">
        <v>84</v>
      </c>
      <c r="H2" s="23" t="s">
        <v>85</v>
      </c>
      <c r="I2" s="23" t="s">
        <v>86</v>
      </c>
      <c r="J2" s="23" t="s">
        <v>87</v>
      </c>
      <c r="K2" s="22" t="s">
        <v>88</v>
      </c>
      <c r="L2" s="22" t="s">
        <v>89</v>
      </c>
      <c r="M2" s="22" t="s">
        <v>90</v>
      </c>
      <c r="N2" s="23" t="s">
        <v>88</v>
      </c>
      <c r="O2" s="23" t="s">
        <v>91</v>
      </c>
    </row>
    <row r="3" spans="1:15" ht="61.5" customHeight="1">
      <c r="A3" s="22" t="s">
        <v>89</v>
      </c>
      <c r="B3" s="23" t="s">
        <v>25</v>
      </c>
      <c r="C3" s="23" t="s">
        <v>26</v>
      </c>
      <c r="D3" s="23" t="s">
        <v>92</v>
      </c>
      <c r="E3" s="23" t="s">
        <v>93</v>
      </c>
      <c r="F3" s="23" t="s">
        <v>94</v>
      </c>
      <c r="G3" s="23" t="s">
        <v>95</v>
      </c>
      <c r="H3" s="23" t="s">
        <v>96</v>
      </c>
      <c r="I3" s="23" t="s">
        <v>97</v>
      </c>
      <c r="J3" s="23" t="s">
        <v>98</v>
      </c>
      <c r="K3" s="22" t="s">
        <v>80</v>
      </c>
      <c r="L3" s="22" t="s">
        <v>99</v>
      </c>
      <c r="M3" s="24" t="s">
        <v>100</v>
      </c>
      <c r="N3" s="23" t="s">
        <v>101</v>
      </c>
      <c r="O3" s="23" t="s">
        <v>102</v>
      </c>
    </row>
    <row r="4" spans="1:15" ht="61.5" customHeight="1">
      <c r="A4" s="22" t="s">
        <v>99</v>
      </c>
      <c r="B4" s="23" t="s">
        <v>25</v>
      </c>
      <c r="C4" s="23" t="s">
        <v>26</v>
      </c>
      <c r="D4" s="23" t="s">
        <v>92</v>
      </c>
      <c r="E4" s="23" t="s">
        <v>103</v>
      </c>
      <c r="F4" s="23" t="s">
        <v>104</v>
      </c>
      <c r="G4" s="23" t="s">
        <v>105</v>
      </c>
      <c r="H4" s="23" t="s">
        <v>106</v>
      </c>
      <c r="I4" s="23" t="s">
        <v>107</v>
      </c>
      <c r="J4" s="23" t="s">
        <v>108</v>
      </c>
      <c r="K4" s="22" t="s">
        <v>89</v>
      </c>
      <c r="L4" s="22" t="s">
        <v>109</v>
      </c>
      <c r="M4" s="22" t="s">
        <v>90</v>
      </c>
      <c r="N4" s="23" t="s">
        <v>88</v>
      </c>
      <c r="O4" s="23" t="s">
        <v>110</v>
      </c>
    </row>
    <row r="5" spans="1:15" ht="61.5" customHeight="1">
      <c r="A5" s="22" t="s">
        <v>109</v>
      </c>
      <c r="B5" s="23" t="s">
        <v>25</v>
      </c>
      <c r="C5" s="23" t="s">
        <v>26</v>
      </c>
      <c r="D5" s="23" t="s">
        <v>111</v>
      </c>
      <c r="E5" s="23" t="s">
        <v>112</v>
      </c>
      <c r="F5" s="23" t="s">
        <v>113</v>
      </c>
      <c r="G5" s="23" t="s">
        <v>114</v>
      </c>
      <c r="H5" s="23" t="s">
        <v>115</v>
      </c>
      <c r="I5" s="23" t="s">
        <v>116</v>
      </c>
      <c r="J5" s="23" t="s">
        <v>117</v>
      </c>
      <c r="K5" s="22" t="s">
        <v>99</v>
      </c>
      <c r="L5" s="22" t="s">
        <v>118</v>
      </c>
      <c r="M5" s="22" t="s">
        <v>90</v>
      </c>
      <c r="N5" s="23" t="s">
        <v>88</v>
      </c>
      <c r="O5" s="23" t="s">
        <v>119</v>
      </c>
    </row>
    <row r="6" spans="1:15" ht="61.5" customHeight="1">
      <c r="A6" s="22" t="s">
        <v>118</v>
      </c>
      <c r="B6" s="23" t="s">
        <v>25</v>
      </c>
      <c r="C6" s="23" t="s">
        <v>26</v>
      </c>
      <c r="D6" s="23" t="s">
        <v>120</v>
      </c>
      <c r="E6" s="23" t="s">
        <v>121</v>
      </c>
      <c r="F6" s="23" t="s">
        <v>122</v>
      </c>
      <c r="G6" s="23" t="s">
        <v>123</v>
      </c>
      <c r="H6" s="23" t="s">
        <v>124</v>
      </c>
      <c r="I6" s="23" t="s">
        <v>125</v>
      </c>
      <c r="J6" s="23" t="s">
        <v>126</v>
      </c>
      <c r="K6" s="22" t="s">
        <v>109</v>
      </c>
      <c r="L6" s="22" t="s">
        <v>127</v>
      </c>
      <c r="M6" s="22" t="s">
        <v>90</v>
      </c>
      <c r="N6" s="23" t="s">
        <v>88</v>
      </c>
      <c r="O6" s="23" t="s">
        <v>128</v>
      </c>
    </row>
    <row r="7" spans="1:15" ht="61.5" customHeight="1">
      <c r="A7" s="25" t="s">
        <v>127</v>
      </c>
      <c r="B7" s="26" t="s">
        <v>31</v>
      </c>
      <c r="C7" s="26" t="s">
        <v>32</v>
      </c>
      <c r="D7" s="26" t="s">
        <v>120</v>
      </c>
      <c r="E7" s="26" t="s">
        <v>129</v>
      </c>
      <c r="F7" s="26" t="s">
        <v>130</v>
      </c>
      <c r="G7" s="26" t="s">
        <v>131</v>
      </c>
      <c r="H7" s="26" t="s">
        <v>132</v>
      </c>
      <c r="I7" s="26" t="s">
        <v>133</v>
      </c>
      <c r="J7" s="26" t="s">
        <v>134</v>
      </c>
      <c r="K7" s="25" t="s">
        <v>118</v>
      </c>
      <c r="L7" s="25" t="s">
        <v>135</v>
      </c>
      <c r="M7" s="27" t="s">
        <v>100</v>
      </c>
      <c r="N7" s="26" t="s">
        <v>136</v>
      </c>
      <c r="O7" s="26" t="s">
        <v>137</v>
      </c>
    </row>
    <row r="8" spans="1:15" ht="61.5" customHeight="1">
      <c r="A8" s="25" t="s">
        <v>135</v>
      </c>
      <c r="B8" s="26" t="s">
        <v>31</v>
      </c>
      <c r="C8" s="26" t="s">
        <v>32</v>
      </c>
      <c r="D8" s="26" t="s">
        <v>120</v>
      </c>
      <c r="E8" s="26" t="s">
        <v>138</v>
      </c>
      <c r="F8" s="26" t="s">
        <v>139</v>
      </c>
      <c r="G8" s="26" t="s">
        <v>140</v>
      </c>
      <c r="H8" s="26" t="s">
        <v>141</v>
      </c>
      <c r="I8" s="26" t="s">
        <v>142</v>
      </c>
      <c r="J8" s="26" t="s">
        <v>143</v>
      </c>
      <c r="K8" s="25" t="s">
        <v>127</v>
      </c>
      <c r="L8" s="25" t="s">
        <v>144</v>
      </c>
      <c r="M8" s="25" t="s">
        <v>90</v>
      </c>
      <c r="N8" s="26" t="s">
        <v>88</v>
      </c>
      <c r="O8" s="26" t="s">
        <v>145</v>
      </c>
    </row>
    <row r="9" spans="1:15" ht="61.5" customHeight="1">
      <c r="A9" s="25" t="s">
        <v>144</v>
      </c>
      <c r="B9" s="26" t="s">
        <v>31</v>
      </c>
      <c r="C9" s="26" t="s">
        <v>32</v>
      </c>
      <c r="D9" s="26" t="s">
        <v>146</v>
      </c>
      <c r="E9" s="26" t="s">
        <v>147</v>
      </c>
      <c r="F9" s="26" t="s">
        <v>148</v>
      </c>
      <c r="G9" s="26" t="s">
        <v>140</v>
      </c>
      <c r="H9" s="26" t="s">
        <v>149</v>
      </c>
      <c r="I9" s="26" t="s">
        <v>150</v>
      </c>
      <c r="J9" s="26" t="s">
        <v>151</v>
      </c>
      <c r="K9" s="25" t="s">
        <v>135</v>
      </c>
      <c r="L9" s="25" t="s">
        <v>152</v>
      </c>
      <c r="M9" s="25" t="s">
        <v>90</v>
      </c>
      <c r="N9" s="26" t="s">
        <v>88</v>
      </c>
      <c r="O9" s="26" t="s">
        <v>153</v>
      </c>
    </row>
    <row r="10" spans="1:15" ht="61.5" customHeight="1">
      <c r="A10" s="25" t="s">
        <v>152</v>
      </c>
      <c r="B10" s="26" t="s">
        <v>31</v>
      </c>
      <c r="C10" s="26" t="s">
        <v>32</v>
      </c>
      <c r="D10" s="26" t="s">
        <v>154</v>
      </c>
      <c r="E10" s="26" t="s">
        <v>155</v>
      </c>
      <c r="F10" s="26" t="s">
        <v>156</v>
      </c>
      <c r="G10" s="26" t="s">
        <v>157</v>
      </c>
      <c r="H10" s="26" t="s">
        <v>158</v>
      </c>
      <c r="I10" s="26" t="s">
        <v>159</v>
      </c>
      <c r="J10" s="26" t="s">
        <v>160</v>
      </c>
      <c r="K10" s="25" t="s">
        <v>144</v>
      </c>
      <c r="L10" s="25" t="s">
        <v>161</v>
      </c>
      <c r="M10" s="25" t="s">
        <v>90</v>
      </c>
      <c r="N10" s="26" t="s">
        <v>88</v>
      </c>
      <c r="O10" s="26" t="s">
        <v>162</v>
      </c>
    </row>
    <row r="11" spans="1:15" ht="61.5" customHeight="1">
      <c r="A11" s="25" t="s">
        <v>161</v>
      </c>
      <c r="B11" s="26" t="s">
        <v>31</v>
      </c>
      <c r="C11" s="26" t="s">
        <v>32</v>
      </c>
      <c r="D11" s="26" t="s">
        <v>163</v>
      </c>
      <c r="E11" s="26" t="s">
        <v>164</v>
      </c>
      <c r="F11" s="26" t="s">
        <v>165</v>
      </c>
      <c r="G11" s="26" t="s">
        <v>140</v>
      </c>
      <c r="H11" s="26" t="s">
        <v>166</v>
      </c>
      <c r="I11" s="26" t="s">
        <v>167</v>
      </c>
      <c r="J11" s="26" t="s">
        <v>168</v>
      </c>
      <c r="K11" s="25" t="s">
        <v>152</v>
      </c>
      <c r="L11" s="25" t="s">
        <v>169</v>
      </c>
      <c r="M11" s="25" t="s">
        <v>90</v>
      </c>
      <c r="N11" s="26" t="s">
        <v>88</v>
      </c>
      <c r="O11" s="26" t="s">
        <v>119</v>
      </c>
    </row>
    <row r="12" spans="1:15" ht="61.5" customHeight="1">
      <c r="A12" s="28" t="s">
        <v>169</v>
      </c>
      <c r="B12" s="29" t="s">
        <v>37</v>
      </c>
      <c r="C12" s="29" t="s">
        <v>38</v>
      </c>
      <c r="D12" s="29" t="s">
        <v>170</v>
      </c>
      <c r="E12" s="29" t="s">
        <v>171</v>
      </c>
      <c r="F12" s="29" t="s">
        <v>172</v>
      </c>
      <c r="G12" s="29" t="s">
        <v>173</v>
      </c>
      <c r="H12" s="29" t="s">
        <v>174</v>
      </c>
      <c r="I12" s="29" t="s">
        <v>175</v>
      </c>
      <c r="J12" s="29" t="s">
        <v>176</v>
      </c>
      <c r="K12" s="28" t="s">
        <v>161</v>
      </c>
      <c r="L12" s="28" t="s">
        <v>177</v>
      </c>
      <c r="M12" s="28" t="s">
        <v>90</v>
      </c>
      <c r="N12" s="29" t="s">
        <v>88</v>
      </c>
      <c r="O12" s="29" t="s">
        <v>178</v>
      </c>
    </row>
    <row r="13" spans="1:15" ht="61.5" customHeight="1">
      <c r="A13" s="28" t="s">
        <v>177</v>
      </c>
      <c r="B13" s="29" t="s">
        <v>37</v>
      </c>
      <c r="C13" s="29" t="s">
        <v>38</v>
      </c>
      <c r="D13" s="29" t="s">
        <v>179</v>
      </c>
      <c r="E13" s="29" t="s">
        <v>180</v>
      </c>
      <c r="F13" s="29" t="s">
        <v>181</v>
      </c>
      <c r="G13" s="29" t="s">
        <v>182</v>
      </c>
      <c r="H13" s="29" t="s">
        <v>183</v>
      </c>
      <c r="I13" s="29" t="s">
        <v>184</v>
      </c>
      <c r="J13" s="29" t="s">
        <v>185</v>
      </c>
      <c r="K13" s="28" t="s">
        <v>169</v>
      </c>
      <c r="L13" s="28" t="s">
        <v>186</v>
      </c>
      <c r="M13" s="28" t="s">
        <v>90</v>
      </c>
      <c r="N13" s="29" t="s">
        <v>88</v>
      </c>
      <c r="O13" s="29" t="s">
        <v>187</v>
      </c>
    </row>
    <row r="14" spans="1:15" ht="61.5" customHeight="1">
      <c r="A14" s="28" t="s">
        <v>186</v>
      </c>
      <c r="B14" s="29" t="s">
        <v>37</v>
      </c>
      <c r="C14" s="29" t="s">
        <v>38</v>
      </c>
      <c r="D14" s="29" t="s">
        <v>188</v>
      </c>
      <c r="E14" s="29" t="s">
        <v>189</v>
      </c>
      <c r="F14" s="29" t="s">
        <v>190</v>
      </c>
      <c r="G14" s="29" t="s">
        <v>191</v>
      </c>
      <c r="H14" s="29" t="s">
        <v>192</v>
      </c>
      <c r="I14" s="29" t="s">
        <v>193</v>
      </c>
      <c r="J14" s="29" t="s">
        <v>194</v>
      </c>
      <c r="K14" s="28" t="s">
        <v>177</v>
      </c>
      <c r="L14" s="28" t="s">
        <v>195</v>
      </c>
      <c r="M14" s="28" t="s">
        <v>90</v>
      </c>
      <c r="N14" s="29" t="s">
        <v>88</v>
      </c>
      <c r="O14" s="29" t="s">
        <v>196</v>
      </c>
    </row>
    <row r="15" spans="1:15" ht="61.5" customHeight="1">
      <c r="A15" s="28" t="s">
        <v>195</v>
      </c>
      <c r="B15" s="29" t="s">
        <v>37</v>
      </c>
      <c r="C15" s="29" t="s">
        <v>38</v>
      </c>
      <c r="D15" s="29" t="s">
        <v>197</v>
      </c>
      <c r="E15" s="29" t="s">
        <v>198</v>
      </c>
      <c r="F15" s="29" t="s">
        <v>199</v>
      </c>
      <c r="G15" s="29" t="s">
        <v>200</v>
      </c>
      <c r="H15" s="29" t="s">
        <v>201</v>
      </c>
      <c r="I15" s="29" t="s">
        <v>202</v>
      </c>
      <c r="J15" s="29" t="s">
        <v>203</v>
      </c>
      <c r="K15" s="28" t="s">
        <v>186</v>
      </c>
      <c r="L15" s="28" t="s">
        <v>204</v>
      </c>
      <c r="M15" s="28" t="s">
        <v>90</v>
      </c>
      <c r="N15" s="29" t="s">
        <v>88</v>
      </c>
      <c r="O15" s="29" t="s">
        <v>205</v>
      </c>
    </row>
    <row r="16" spans="1:15" ht="61.5" customHeight="1">
      <c r="A16" s="28" t="s">
        <v>204</v>
      </c>
      <c r="B16" s="29" t="s">
        <v>37</v>
      </c>
      <c r="C16" s="29" t="s">
        <v>38</v>
      </c>
      <c r="D16" s="29" t="s">
        <v>206</v>
      </c>
      <c r="E16" s="29" t="s">
        <v>207</v>
      </c>
      <c r="F16" s="29" t="s">
        <v>208</v>
      </c>
      <c r="G16" s="29" t="s">
        <v>209</v>
      </c>
      <c r="H16" s="29" t="s">
        <v>210</v>
      </c>
      <c r="I16" s="29" t="s">
        <v>211</v>
      </c>
      <c r="J16" s="29" t="s">
        <v>212</v>
      </c>
      <c r="K16" s="28" t="s">
        <v>195</v>
      </c>
      <c r="L16" s="28" t="s">
        <v>213</v>
      </c>
      <c r="M16" s="28" t="s">
        <v>90</v>
      </c>
      <c r="N16" s="29" t="s">
        <v>88</v>
      </c>
      <c r="O16" s="29" t="s">
        <v>214</v>
      </c>
    </row>
    <row r="17" spans="1:15" ht="61.5" customHeight="1">
      <c r="A17" s="28" t="s">
        <v>213</v>
      </c>
      <c r="B17" s="29" t="s">
        <v>37</v>
      </c>
      <c r="C17" s="29" t="s">
        <v>38</v>
      </c>
      <c r="D17" s="29" t="s">
        <v>215</v>
      </c>
      <c r="E17" s="29" t="s">
        <v>216</v>
      </c>
      <c r="F17" s="29" t="s">
        <v>217</v>
      </c>
      <c r="G17" s="29" t="s">
        <v>218</v>
      </c>
      <c r="H17" s="29" t="s">
        <v>219</v>
      </c>
      <c r="I17" s="29" t="s">
        <v>220</v>
      </c>
      <c r="J17" s="29" t="s">
        <v>221</v>
      </c>
      <c r="K17" s="28" t="s">
        <v>204</v>
      </c>
      <c r="L17" s="28" t="s">
        <v>222</v>
      </c>
      <c r="M17" s="28" t="s">
        <v>90</v>
      </c>
      <c r="N17" s="29" t="s">
        <v>88</v>
      </c>
      <c r="O17" s="29" t="s">
        <v>223</v>
      </c>
    </row>
    <row r="18" spans="1:15" ht="61.5" customHeight="1">
      <c r="A18" s="28" t="s">
        <v>222</v>
      </c>
      <c r="B18" s="29" t="s">
        <v>37</v>
      </c>
      <c r="C18" s="29" t="s">
        <v>38</v>
      </c>
      <c r="D18" s="29" t="s">
        <v>224</v>
      </c>
      <c r="E18" s="29" t="s">
        <v>225</v>
      </c>
      <c r="F18" s="29" t="s">
        <v>226</v>
      </c>
      <c r="G18" s="29" t="s">
        <v>140</v>
      </c>
      <c r="H18" s="29" t="s">
        <v>227</v>
      </c>
      <c r="I18" s="29" t="s">
        <v>228</v>
      </c>
      <c r="J18" s="29" t="s">
        <v>229</v>
      </c>
      <c r="K18" s="28" t="s">
        <v>213</v>
      </c>
      <c r="L18" s="28" t="s">
        <v>230</v>
      </c>
      <c r="M18" s="28" t="s">
        <v>90</v>
      </c>
      <c r="N18" s="29" t="s">
        <v>88</v>
      </c>
      <c r="O18" s="29" t="s">
        <v>231</v>
      </c>
    </row>
    <row r="19" spans="1:15" ht="61.5" customHeight="1">
      <c r="A19" s="28" t="s">
        <v>230</v>
      </c>
      <c r="B19" s="29" t="s">
        <v>37</v>
      </c>
      <c r="C19" s="29" t="s">
        <v>38</v>
      </c>
      <c r="D19" s="29" t="s">
        <v>120</v>
      </c>
      <c r="E19" s="29" t="s">
        <v>232</v>
      </c>
      <c r="F19" s="29" t="s">
        <v>233</v>
      </c>
      <c r="G19" s="29" t="s">
        <v>140</v>
      </c>
      <c r="H19" s="29" t="s">
        <v>234</v>
      </c>
      <c r="I19" s="29" t="s">
        <v>235</v>
      </c>
      <c r="J19" s="29" t="s">
        <v>236</v>
      </c>
      <c r="K19" s="28" t="s">
        <v>222</v>
      </c>
      <c r="L19" s="28" t="s">
        <v>237</v>
      </c>
      <c r="M19" s="28" t="s">
        <v>90</v>
      </c>
      <c r="N19" s="29" t="s">
        <v>88</v>
      </c>
      <c r="O19" s="29" t="s">
        <v>238</v>
      </c>
    </row>
    <row r="20" spans="1:15" ht="61.5" customHeight="1">
      <c r="A20" s="28" t="s">
        <v>237</v>
      </c>
      <c r="B20" s="29" t="s">
        <v>37</v>
      </c>
      <c r="C20" s="29" t="s">
        <v>38</v>
      </c>
      <c r="D20" s="29" t="s">
        <v>120</v>
      </c>
      <c r="E20" s="29" t="s">
        <v>239</v>
      </c>
      <c r="F20" s="29" t="s">
        <v>240</v>
      </c>
      <c r="G20" s="29" t="s">
        <v>241</v>
      </c>
      <c r="H20" s="29" t="s">
        <v>242</v>
      </c>
      <c r="I20" s="29" t="s">
        <v>243</v>
      </c>
      <c r="J20" s="29" t="s">
        <v>244</v>
      </c>
      <c r="K20" s="28" t="s">
        <v>230</v>
      </c>
      <c r="L20" s="28" t="s">
        <v>245</v>
      </c>
      <c r="M20" s="30" t="s">
        <v>100</v>
      </c>
      <c r="N20" s="29" t="s">
        <v>246</v>
      </c>
      <c r="O20" s="29" t="s">
        <v>247</v>
      </c>
    </row>
    <row r="21" spans="1:15" ht="61.5" customHeight="1">
      <c r="A21" s="31" t="s">
        <v>245</v>
      </c>
      <c r="B21" s="32" t="s">
        <v>43</v>
      </c>
      <c r="C21" s="32" t="s">
        <v>44</v>
      </c>
      <c r="D21" s="32" t="s">
        <v>163</v>
      </c>
      <c r="E21" s="32" t="s">
        <v>248</v>
      </c>
      <c r="F21" s="32" t="s">
        <v>249</v>
      </c>
      <c r="G21" s="32" t="s">
        <v>250</v>
      </c>
      <c r="H21" s="32" t="s">
        <v>251</v>
      </c>
      <c r="I21" s="32" t="s">
        <v>252</v>
      </c>
      <c r="J21" s="32" t="s">
        <v>253</v>
      </c>
      <c r="K21" s="31" t="s">
        <v>237</v>
      </c>
      <c r="L21" s="31" t="s">
        <v>254</v>
      </c>
      <c r="M21" s="31" t="s">
        <v>90</v>
      </c>
      <c r="N21" s="32" t="s">
        <v>88</v>
      </c>
      <c r="O21" s="32" t="s">
        <v>255</v>
      </c>
    </row>
    <row r="22" spans="1:15" ht="61.5" customHeight="1">
      <c r="A22" s="31" t="s">
        <v>254</v>
      </c>
      <c r="B22" s="32" t="s">
        <v>43</v>
      </c>
      <c r="C22" s="32" t="s">
        <v>44</v>
      </c>
      <c r="D22" s="32" t="s">
        <v>256</v>
      </c>
      <c r="E22" s="32" t="s">
        <v>257</v>
      </c>
      <c r="F22" s="32" t="s">
        <v>258</v>
      </c>
      <c r="G22" s="32" t="s">
        <v>259</v>
      </c>
      <c r="H22" s="32" t="s">
        <v>260</v>
      </c>
      <c r="I22" s="32" t="s">
        <v>261</v>
      </c>
      <c r="J22" s="32" t="s">
        <v>262</v>
      </c>
      <c r="K22" s="31" t="s">
        <v>245</v>
      </c>
      <c r="L22" s="31" t="s">
        <v>263</v>
      </c>
      <c r="M22" s="33" t="s">
        <v>100</v>
      </c>
      <c r="N22" s="32" t="s">
        <v>264</v>
      </c>
      <c r="O22" s="32" t="s">
        <v>265</v>
      </c>
    </row>
    <row r="23" spans="1:15" ht="61.5" customHeight="1">
      <c r="A23" s="31" t="s">
        <v>263</v>
      </c>
      <c r="B23" s="32" t="s">
        <v>43</v>
      </c>
      <c r="C23" s="32" t="s">
        <v>44</v>
      </c>
      <c r="D23" s="32" t="s">
        <v>206</v>
      </c>
      <c r="E23" s="32" t="s">
        <v>266</v>
      </c>
      <c r="F23" s="32" t="s">
        <v>267</v>
      </c>
      <c r="G23" s="32" t="s">
        <v>268</v>
      </c>
      <c r="H23" s="32" t="s">
        <v>269</v>
      </c>
      <c r="I23" s="32" t="s">
        <v>270</v>
      </c>
      <c r="J23" s="32" t="s">
        <v>271</v>
      </c>
      <c r="K23" s="31" t="s">
        <v>254</v>
      </c>
      <c r="L23" s="31" t="s">
        <v>272</v>
      </c>
      <c r="M23" s="31" t="s">
        <v>90</v>
      </c>
      <c r="N23" s="32" t="s">
        <v>88</v>
      </c>
      <c r="O23" s="32" t="s">
        <v>273</v>
      </c>
    </row>
    <row r="24" spans="1:15" ht="61.5" customHeight="1">
      <c r="A24" s="31" t="s">
        <v>272</v>
      </c>
      <c r="B24" s="32" t="s">
        <v>43</v>
      </c>
      <c r="C24" s="32" t="s">
        <v>44</v>
      </c>
      <c r="D24" s="32" t="s">
        <v>163</v>
      </c>
      <c r="E24" s="32" t="s">
        <v>274</v>
      </c>
      <c r="F24" s="32" t="s">
        <v>275</v>
      </c>
      <c r="G24" s="32" t="s">
        <v>276</v>
      </c>
      <c r="H24" s="32" t="s">
        <v>277</v>
      </c>
      <c r="I24" s="32" t="s">
        <v>278</v>
      </c>
      <c r="J24" s="32" t="s">
        <v>279</v>
      </c>
      <c r="K24" s="31" t="s">
        <v>263</v>
      </c>
      <c r="L24" s="31" t="s">
        <v>280</v>
      </c>
      <c r="M24" s="31" t="s">
        <v>90</v>
      </c>
      <c r="N24" s="32" t="s">
        <v>88</v>
      </c>
      <c r="O24" s="32" t="s">
        <v>281</v>
      </c>
    </row>
    <row r="25" spans="1:15" ht="61.5" customHeight="1">
      <c r="A25" s="31" t="s">
        <v>280</v>
      </c>
      <c r="B25" s="32" t="s">
        <v>43</v>
      </c>
      <c r="C25" s="32" t="s">
        <v>44</v>
      </c>
      <c r="D25" s="32" t="s">
        <v>282</v>
      </c>
      <c r="E25" s="32" t="s">
        <v>283</v>
      </c>
      <c r="F25" s="32" t="s">
        <v>284</v>
      </c>
      <c r="G25" s="32" t="s">
        <v>285</v>
      </c>
      <c r="H25" s="32" t="s">
        <v>286</v>
      </c>
      <c r="I25" s="32" t="s">
        <v>287</v>
      </c>
      <c r="J25" s="32" t="s">
        <v>288</v>
      </c>
      <c r="K25" s="31" t="s">
        <v>272</v>
      </c>
      <c r="L25" s="31" t="s">
        <v>289</v>
      </c>
      <c r="M25" s="31" t="s">
        <v>90</v>
      </c>
      <c r="N25" s="32" t="s">
        <v>88</v>
      </c>
      <c r="O25" s="32" t="s">
        <v>290</v>
      </c>
    </row>
    <row r="26" spans="1:15" ht="61.5" customHeight="1">
      <c r="A26" s="31" t="s">
        <v>289</v>
      </c>
      <c r="B26" s="32" t="s">
        <v>43</v>
      </c>
      <c r="C26" s="32" t="s">
        <v>44</v>
      </c>
      <c r="D26" s="32" t="s">
        <v>206</v>
      </c>
      <c r="E26" s="32" t="s">
        <v>291</v>
      </c>
      <c r="F26" s="32" t="s">
        <v>292</v>
      </c>
      <c r="G26" s="32" t="s">
        <v>293</v>
      </c>
      <c r="H26" s="32" t="s">
        <v>294</v>
      </c>
      <c r="I26" s="32" t="s">
        <v>295</v>
      </c>
      <c r="J26" s="32" t="s">
        <v>296</v>
      </c>
      <c r="K26" s="31" t="s">
        <v>280</v>
      </c>
      <c r="L26" s="31" t="s">
        <v>297</v>
      </c>
      <c r="M26" s="31" t="s">
        <v>90</v>
      </c>
      <c r="N26" s="32" t="s">
        <v>88</v>
      </c>
      <c r="O26" s="32" t="s">
        <v>214</v>
      </c>
    </row>
    <row r="27" spans="1:15" ht="61.5" customHeight="1">
      <c r="A27" s="31" t="s">
        <v>297</v>
      </c>
      <c r="B27" s="32" t="s">
        <v>43</v>
      </c>
      <c r="C27" s="32" t="s">
        <v>44</v>
      </c>
      <c r="D27" s="32" t="s">
        <v>188</v>
      </c>
      <c r="E27" s="32" t="s">
        <v>298</v>
      </c>
      <c r="F27" s="32" t="s">
        <v>299</v>
      </c>
      <c r="G27" s="32" t="s">
        <v>300</v>
      </c>
      <c r="H27" s="32" t="s">
        <v>301</v>
      </c>
      <c r="I27" s="32" t="s">
        <v>302</v>
      </c>
      <c r="J27" s="32" t="s">
        <v>303</v>
      </c>
      <c r="K27" s="31" t="s">
        <v>289</v>
      </c>
      <c r="L27" s="31" t="s">
        <v>304</v>
      </c>
      <c r="M27" s="31" t="s">
        <v>90</v>
      </c>
      <c r="N27" s="32" t="s">
        <v>88</v>
      </c>
      <c r="O27" s="32" t="s">
        <v>305</v>
      </c>
    </row>
    <row r="28" spans="1:15" ht="61.5" customHeight="1">
      <c r="A28" s="31" t="s">
        <v>304</v>
      </c>
      <c r="B28" s="32" t="s">
        <v>43</v>
      </c>
      <c r="C28" s="32" t="s">
        <v>44</v>
      </c>
      <c r="D28" s="32" t="s">
        <v>215</v>
      </c>
      <c r="E28" s="32" t="s">
        <v>306</v>
      </c>
      <c r="F28" s="32" t="s">
        <v>307</v>
      </c>
      <c r="G28" s="32" t="s">
        <v>308</v>
      </c>
      <c r="H28" s="32" t="s">
        <v>309</v>
      </c>
      <c r="I28" s="32" t="s">
        <v>310</v>
      </c>
      <c r="J28" s="32" t="s">
        <v>311</v>
      </c>
      <c r="K28" s="31" t="s">
        <v>297</v>
      </c>
      <c r="L28" s="31" t="s">
        <v>312</v>
      </c>
      <c r="M28" s="31" t="s">
        <v>90</v>
      </c>
      <c r="N28" s="32" t="s">
        <v>88</v>
      </c>
      <c r="O28" s="32" t="s">
        <v>223</v>
      </c>
    </row>
    <row r="29" spans="1:15" ht="61.5" customHeight="1">
      <c r="A29" s="31" t="s">
        <v>312</v>
      </c>
      <c r="B29" s="32" t="s">
        <v>43</v>
      </c>
      <c r="C29" s="32" t="s">
        <v>44</v>
      </c>
      <c r="D29" s="32" t="s">
        <v>163</v>
      </c>
      <c r="E29" s="32" t="s">
        <v>313</v>
      </c>
      <c r="F29" s="32" t="s">
        <v>314</v>
      </c>
      <c r="G29" s="32" t="s">
        <v>315</v>
      </c>
      <c r="H29" s="32" t="s">
        <v>316</v>
      </c>
      <c r="I29" s="32" t="s">
        <v>317</v>
      </c>
      <c r="J29" s="32" t="s">
        <v>318</v>
      </c>
      <c r="K29" s="31" t="s">
        <v>304</v>
      </c>
      <c r="L29" s="31" t="s">
        <v>319</v>
      </c>
      <c r="M29" s="31" t="s">
        <v>90</v>
      </c>
      <c r="N29" s="32" t="s">
        <v>88</v>
      </c>
      <c r="O29" s="32" t="s">
        <v>281</v>
      </c>
    </row>
    <row r="30" spans="1:15" ht="61.5" customHeight="1">
      <c r="A30" s="31" t="s">
        <v>319</v>
      </c>
      <c r="B30" s="32" t="s">
        <v>43</v>
      </c>
      <c r="C30" s="32" t="s">
        <v>44</v>
      </c>
      <c r="D30" s="32" t="s">
        <v>320</v>
      </c>
      <c r="E30" s="32" t="s">
        <v>321</v>
      </c>
      <c r="F30" s="32" t="s">
        <v>322</v>
      </c>
      <c r="G30" s="32" t="s">
        <v>140</v>
      </c>
      <c r="H30" s="32" t="s">
        <v>323</v>
      </c>
      <c r="I30" s="32" t="s">
        <v>324</v>
      </c>
      <c r="J30" s="32" t="s">
        <v>325</v>
      </c>
      <c r="K30" s="31" t="s">
        <v>312</v>
      </c>
      <c r="L30" s="31" t="s">
        <v>326</v>
      </c>
      <c r="M30" s="31" t="s">
        <v>90</v>
      </c>
      <c r="N30" s="32" t="s">
        <v>88</v>
      </c>
      <c r="O30" s="32" t="s">
        <v>327</v>
      </c>
    </row>
    <row r="31" spans="1:15" ht="61.5" customHeight="1">
      <c r="A31" s="34" t="s">
        <v>326</v>
      </c>
      <c r="B31" s="35" t="s">
        <v>49</v>
      </c>
      <c r="C31" s="35" t="s">
        <v>50</v>
      </c>
      <c r="D31" s="35" t="s">
        <v>328</v>
      </c>
      <c r="E31" s="35" t="s">
        <v>329</v>
      </c>
      <c r="F31" s="35" t="s">
        <v>330</v>
      </c>
      <c r="G31" s="35" t="s">
        <v>331</v>
      </c>
      <c r="H31" s="35" t="s">
        <v>332</v>
      </c>
      <c r="I31" s="35" t="s">
        <v>333</v>
      </c>
      <c r="J31" s="35" t="s">
        <v>334</v>
      </c>
      <c r="K31" s="34" t="s">
        <v>319</v>
      </c>
      <c r="L31" s="34" t="s">
        <v>335</v>
      </c>
      <c r="M31" s="36" t="s">
        <v>100</v>
      </c>
      <c r="N31" s="35" t="s">
        <v>336</v>
      </c>
      <c r="O31" s="35" t="s">
        <v>337</v>
      </c>
    </row>
    <row r="32" spans="1:15" ht="61.5" customHeight="1">
      <c r="A32" s="34" t="s">
        <v>335</v>
      </c>
      <c r="B32" s="35" t="s">
        <v>49</v>
      </c>
      <c r="C32" s="35" t="s">
        <v>50</v>
      </c>
      <c r="D32" s="35" t="s">
        <v>338</v>
      </c>
      <c r="E32" s="35" t="s">
        <v>339</v>
      </c>
      <c r="F32" s="35" t="s">
        <v>340</v>
      </c>
      <c r="G32" s="35" t="s">
        <v>341</v>
      </c>
      <c r="H32" s="35" t="s">
        <v>342</v>
      </c>
      <c r="I32" s="35" t="s">
        <v>343</v>
      </c>
      <c r="J32" s="35" t="s">
        <v>344</v>
      </c>
      <c r="K32" s="34" t="s">
        <v>326</v>
      </c>
      <c r="L32" s="34" t="s">
        <v>345</v>
      </c>
      <c r="M32" s="34" t="s">
        <v>90</v>
      </c>
      <c r="N32" s="35" t="s">
        <v>88</v>
      </c>
      <c r="O32" s="35" t="s">
        <v>346</v>
      </c>
    </row>
    <row r="33" spans="1:15" ht="61.5" customHeight="1">
      <c r="A33" s="34" t="s">
        <v>345</v>
      </c>
      <c r="B33" s="35" t="s">
        <v>49</v>
      </c>
      <c r="C33" s="35" t="s">
        <v>50</v>
      </c>
      <c r="D33" s="35" t="s">
        <v>328</v>
      </c>
      <c r="E33" s="35" t="s">
        <v>347</v>
      </c>
      <c r="F33" s="35" t="s">
        <v>348</v>
      </c>
      <c r="G33" s="35" t="s">
        <v>349</v>
      </c>
      <c r="H33" s="35" t="s">
        <v>350</v>
      </c>
      <c r="I33" s="35" t="s">
        <v>351</v>
      </c>
      <c r="J33" s="35" t="s">
        <v>352</v>
      </c>
      <c r="K33" s="34" t="s">
        <v>335</v>
      </c>
      <c r="L33" s="34" t="s">
        <v>353</v>
      </c>
      <c r="M33" s="36" t="s">
        <v>100</v>
      </c>
      <c r="N33" s="35" t="s">
        <v>354</v>
      </c>
      <c r="O33" s="35" t="s">
        <v>355</v>
      </c>
    </row>
    <row r="34" spans="1:15" ht="61.5" customHeight="1">
      <c r="A34" s="34" t="s">
        <v>353</v>
      </c>
      <c r="B34" s="35" t="s">
        <v>49</v>
      </c>
      <c r="C34" s="35" t="s">
        <v>50</v>
      </c>
      <c r="D34" s="35" t="s">
        <v>120</v>
      </c>
      <c r="E34" s="35" t="s">
        <v>356</v>
      </c>
      <c r="F34" s="35" t="s">
        <v>357</v>
      </c>
      <c r="G34" s="35" t="s">
        <v>140</v>
      </c>
      <c r="H34" s="35" t="s">
        <v>358</v>
      </c>
      <c r="I34" s="35" t="s">
        <v>359</v>
      </c>
      <c r="J34" s="35" t="s">
        <v>360</v>
      </c>
      <c r="K34" s="34" t="s">
        <v>345</v>
      </c>
      <c r="L34" s="34" t="s">
        <v>361</v>
      </c>
      <c r="M34" s="34" t="s">
        <v>90</v>
      </c>
      <c r="N34" s="35" t="s">
        <v>362</v>
      </c>
      <c r="O34" s="35" t="s">
        <v>363</v>
      </c>
    </row>
    <row r="35" spans="1:15" ht="61.5" customHeight="1">
      <c r="A35" s="34" t="s">
        <v>361</v>
      </c>
      <c r="B35" s="35" t="s">
        <v>49</v>
      </c>
      <c r="C35" s="35" t="s">
        <v>50</v>
      </c>
      <c r="D35" s="35" t="s">
        <v>364</v>
      </c>
      <c r="E35" s="35" t="s">
        <v>365</v>
      </c>
      <c r="F35" s="35" t="s">
        <v>366</v>
      </c>
      <c r="G35" s="35" t="s">
        <v>367</v>
      </c>
      <c r="H35" s="35" t="s">
        <v>368</v>
      </c>
      <c r="I35" s="35" t="s">
        <v>369</v>
      </c>
      <c r="J35" s="35" t="s">
        <v>370</v>
      </c>
      <c r="K35" s="34" t="s">
        <v>353</v>
      </c>
      <c r="L35" s="34" t="s">
        <v>371</v>
      </c>
      <c r="M35" s="34" t="s">
        <v>90</v>
      </c>
      <c r="N35" s="35" t="s">
        <v>88</v>
      </c>
      <c r="O35" s="35" t="s">
        <v>372</v>
      </c>
    </row>
    <row r="36" spans="1:15" ht="61.5" customHeight="1">
      <c r="A36" s="34" t="s">
        <v>371</v>
      </c>
      <c r="B36" s="35" t="s">
        <v>49</v>
      </c>
      <c r="C36" s="35" t="s">
        <v>50</v>
      </c>
      <c r="D36" s="35" t="s">
        <v>364</v>
      </c>
      <c r="E36" s="35" t="s">
        <v>373</v>
      </c>
      <c r="F36" s="35" t="s">
        <v>374</v>
      </c>
      <c r="G36" s="35" t="s">
        <v>375</v>
      </c>
      <c r="H36" s="35" t="s">
        <v>376</v>
      </c>
      <c r="I36" s="35" t="s">
        <v>377</v>
      </c>
      <c r="J36" s="35" t="s">
        <v>378</v>
      </c>
      <c r="K36" s="34" t="s">
        <v>361</v>
      </c>
      <c r="L36" s="34" t="s">
        <v>379</v>
      </c>
      <c r="M36" s="36" t="s">
        <v>100</v>
      </c>
      <c r="N36" s="35" t="s">
        <v>380</v>
      </c>
      <c r="O36" s="35" t="s">
        <v>381</v>
      </c>
    </row>
    <row r="37" spans="1:15" ht="61.5" customHeight="1">
      <c r="A37" s="34" t="s">
        <v>379</v>
      </c>
      <c r="B37" s="35" t="s">
        <v>49</v>
      </c>
      <c r="C37" s="35" t="s">
        <v>50</v>
      </c>
      <c r="D37" s="35" t="s">
        <v>364</v>
      </c>
      <c r="E37" s="35" t="s">
        <v>382</v>
      </c>
      <c r="F37" s="35" t="s">
        <v>383</v>
      </c>
      <c r="G37" s="35" t="s">
        <v>384</v>
      </c>
      <c r="H37" s="35" t="s">
        <v>385</v>
      </c>
      <c r="I37" s="35" t="s">
        <v>386</v>
      </c>
      <c r="J37" s="35" t="s">
        <v>387</v>
      </c>
      <c r="K37" s="34" t="s">
        <v>371</v>
      </c>
      <c r="L37" s="34" t="s">
        <v>388</v>
      </c>
      <c r="M37" s="36" t="s">
        <v>100</v>
      </c>
      <c r="N37" s="35" t="s">
        <v>389</v>
      </c>
      <c r="O37" s="35" t="s">
        <v>372</v>
      </c>
    </row>
    <row r="38" spans="1:15" ht="61.5" customHeight="1">
      <c r="A38" s="34" t="s">
        <v>388</v>
      </c>
      <c r="B38" s="35" t="s">
        <v>49</v>
      </c>
      <c r="C38" s="35" t="s">
        <v>50</v>
      </c>
      <c r="D38" s="35" t="s">
        <v>215</v>
      </c>
      <c r="E38" s="35" t="s">
        <v>390</v>
      </c>
      <c r="F38" s="35" t="s">
        <v>391</v>
      </c>
      <c r="G38" s="35" t="s">
        <v>308</v>
      </c>
      <c r="H38" s="35" t="s">
        <v>392</v>
      </c>
      <c r="I38" s="35" t="s">
        <v>393</v>
      </c>
      <c r="J38" s="35" t="s">
        <v>394</v>
      </c>
      <c r="K38" s="34" t="s">
        <v>379</v>
      </c>
      <c r="L38" s="34" t="s">
        <v>395</v>
      </c>
      <c r="M38" s="34" t="s">
        <v>90</v>
      </c>
      <c r="N38" s="35" t="s">
        <v>88</v>
      </c>
      <c r="O38" s="35" t="s">
        <v>223</v>
      </c>
    </row>
    <row r="39" spans="1:15" ht="61.5" customHeight="1">
      <c r="A39" s="34" t="s">
        <v>395</v>
      </c>
      <c r="B39" s="35" t="s">
        <v>49</v>
      </c>
      <c r="C39" s="35" t="s">
        <v>50</v>
      </c>
      <c r="D39" s="35" t="s">
        <v>197</v>
      </c>
      <c r="E39" s="35" t="s">
        <v>396</v>
      </c>
      <c r="F39" s="35" t="s">
        <v>397</v>
      </c>
      <c r="G39" s="35" t="s">
        <v>140</v>
      </c>
      <c r="H39" s="35" t="s">
        <v>398</v>
      </c>
      <c r="I39" s="35" t="s">
        <v>399</v>
      </c>
      <c r="J39" s="35" t="s">
        <v>400</v>
      </c>
      <c r="K39" s="34" t="s">
        <v>388</v>
      </c>
      <c r="L39" s="34" t="s">
        <v>401</v>
      </c>
      <c r="M39" s="34" t="s">
        <v>90</v>
      </c>
      <c r="N39" s="35" t="s">
        <v>88</v>
      </c>
      <c r="O39" s="35" t="s">
        <v>205</v>
      </c>
    </row>
    <row r="40" spans="1:15" ht="61.5" customHeight="1">
      <c r="A40" s="34" t="s">
        <v>401</v>
      </c>
      <c r="B40" s="35" t="s">
        <v>49</v>
      </c>
      <c r="C40" s="35" t="s">
        <v>50</v>
      </c>
      <c r="D40" s="35" t="s">
        <v>320</v>
      </c>
      <c r="E40" s="35" t="s">
        <v>402</v>
      </c>
      <c r="F40" s="35" t="s">
        <v>403</v>
      </c>
      <c r="G40" s="35" t="s">
        <v>140</v>
      </c>
      <c r="H40" s="35" t="s">
        <v>404</v>
      </c>
      <c r="I40" s="35" t="s">
        <v>405</v>
      </c>
      <c r="J40" s="35" t="s">
        <v>406</v>
      </c>
      <c r="K40" s="34" t="s">
        <v>395</v>
      </c>
      <c r="L40" s="34" t="s">
        <v>407</v>
      </c>
      <c r="M40" s="34" t="s">
        <v>90</v>
      </c>
      <c r="N40" s="35" t="s">
        <v>88</v>
      </c>
      <c r="O40" s="35" t="s">
        <v>327</v>
      </c>
    </row>
    <row r="41" spans="1:15" ht="61.5" customHeight="1">
      <c r="A41" s="34" t="s">
        <v>407</v>
      </c>
      <c r="B41" s="35" t="s">
        <v>49</v>
      </c>
      <c r="C41" s="35" t="s">
        <v>50</v>
      </c>
      <c r="D41" s="35" t="s">
        <v>170</v>
      </c>
      <c r="E41" s="35" t="s">
        <v>408</v>
      </c>
      <c r="F41" s="35" t="s">
        <v>409</v>
      </c>
      <c r="G41" s="35" t="s">
        <v>140</v>
      </c>
      <c r="H41" s="35" t="s">
        <v>410</v>
      </c>
      <c r="I41" s="35" t="s">
        <v>411</v>
      </c>
      <c r="J41" s="35" t="s">
        <v>412</v>
      </c>
      <c r="K41" s="34" t="s">
        <v>401</v>
      </c>
      <c r="L41" s="34" t="s">
        <v>413</v>
      </c>
      <c r="M41" s="36" t="s">
        <v>100</v>
      </c>
      <c r="N41" s="35" t="s">
        <v>414</v>
      </c>
      <c r="O41" s="35" t="s">
        <v>178</v>
      </c>
    </row>
    <row r="42" spans="1:15" ht="61.5" customHeight="1">
      <c r="A42" s="37" t="s">
        <v>413</v>
      </c>
      <c r="B42" s="38" t="s">
        <v>55</v>
      </c>
      <c r="C42" s="38" t="s">
        <v>56</v>
      </c>
      <c r="D42" s="38" t="s">
        <v>215</v>
      </c>
      <c r="E42" s="38" t="s">
        <v>415</v>
      </c>
      <c r="F42" s="38" t="s">
        <v>416</v>
      </c>
      <c r="G42" s="38" t="s">
        <v>417</v>
      </c>
      <c r="H42" s="38" t="s">
        <v>418</v>
      </c>
      <c r="I42" s="38" t="s">
        <v>419</v>
      </c>
      <c r="J42" s="38" t="s">
        <v>420</v>
      </c>
      <c r="K42" s="37" t="s">
        <v>407</v>
      </c>
      <c r="L42" s="37" t="s">
        <v>421</v>
      </c>
      <c r="M42" s="37" t="s">
        <v>90</v>
      </c>
      <c r="N42" s="38" t="s">
        <v>88</v>
      </c>
      <c r="O42" s="38" t="s">
        <v>422</v>
      </c>
    </row>
    <row r="43" spans="1:15" ht="61.5" customHeight="1">
      <c r="A43" s="37" t="s">
        <v>421</v>
      </c>
      <c r="B43" s="38" t="s">
        <v>55</v>
      </c>
      <c r="C43" s="38" t="s">
        <v>56</v>
      </c>
      <c r="D43" s="38" t="s">
        <v>423</v>
      </c>
      <c r="E43" s="38" t="s">
        <v>424</v>
      </c>
      <c r="F43" s="38" t="s">
        <v>425</v>
      </c>
      <c r="G43" s="38" t="s">
        <v>426</v>
      </c>
      <c r="H43" s="38" t="s">
        <v>419</v>
      </c>
      <c r="I43" s="38" t="s">
        <v>427</v>
      </c>
      <c r="J43" s="38" t="s">
        <v>428</v>
      </c>
      <c r="K43" s="37" t="s">
        <v>413</v>
      </c>
      <c r="L43" s="37" t="s">
        <v>429</v>
      </c>
      <c r="M43" s="39" t="s">
        <v>100</v>
      </c>
      <c r="N43" s="38" t="s">
        <v>430</v>
      </c>
      <c r="O43" s="38" t="s">
        <v>431</v>
      </c>
    </row>
    <row r="44" spans="1:15" ht="61.5" customHeight="1">
      <c r="A44" s="37" t="s">
        <v>429</v>
      </c>
      <c r="B44" s="38" t="s">
        <v>55</v>
      </c>
      <c r="C44" s="38" t="s">
        <v>56</v>
      </c>
      <c r="D44" s="38" t="s">
        <v>170</v>
      </c>
      <c r="E44" s="38" t="s">
        <v>432</v>
      </c>
      <c r="F44" s="38" t="s">
        <v>433</v>
      </c>
      <c r="G44" s="38" t="s">
        <v>434</v>
      </c>
      <c r="H44" s="38" t="s">
        <v>435</v>
      </c>
      <c r="I44" s="38" t="s">
        <v>436</v>
      </c>
      <c r="J44" s="38" t="s">
        <v>437</v>
      </c>
      <c r="K44" s="37" t="s">
        <v>421</v>
      </c>
      <c r="L44" s="37" t="s">
        <v>421</v>
      </c>
      <c r="M44" s="39" t="s">
        <v>100</v>
      </c>
      <c r="N44" s="38" t="s">
        <v>438</v>
      </c>
      <c r="O44" s="38" t="s">
        <v>431</v>
      </c>
    </row>
    <row r="45" spans="1:15" ht="61.5" customHeight="1">
      <c r="A45" s="37" t="s">
        <v>439</v>
      </c>
      <c r="B45" s="38" t="s">
        <v>55</v>
      </c>
      <c r="C45" s="38" t="s">
        <v>56</v>
      </c>
      <c r="D45" s="38" t="s">
        <v>423</v>
      </c>
      <c r="E45" s="38" t="s">
        <v>440</v>
      </c>
      <c r="F45" s="38" t="s">
        <v>441</v>
      </c>
      <c r="G45" s="38" t="s">
        <v>442</v>
      </c>
      <c r="H45" s="38" t="s">
        <v>443</v>
      </c>
      <c r="I45" s="38" t="s">
        <v>444</v>
      </c>
      <c r="J45" s="38" t="s">
        <v>445</v>
      </c>
      <c r="K45" s="37" t="s">
        <v>446</v>
      </c>
      <c r="L45" s="37" t="s">
        <v>447</v>
      </c>
      <c r="M45" s="39" t="s">
        <v>100</v>
      </c>
      <c r="N45" s="38" t="s">
        <v>448</v>
      </c>
      <c r="O45" s="38" t="s">
        <v>449</v>
      </c>
    </row>
    <row r="46" spans="1:15" ht="61.5" customHeight="1">
      <c r="A46" s="37" t="s">
        <v>447</v>
      </c>
      <c r="B46" s="38" t="s">
        <v>55</v>
      </c>
      <c r="C46" s="38" t="s">
        <v>56</v>
      </c>
      <c r="D46" s="38" t="s">
        <v>423</v>
      </c>
      <c r="E46" s="38" t="s">
        <v>450</v>
      </c>
      <c r="F46" s="38" t="s">
        <v>451</v>
      </c>
      <c r="G46" s="38" t="s">
        <v>452</v>
      </c>
      <c r="H46" s="38" t="s">
        <v>453</v>
      </c>
      <c r="I46" s="38" t="s">
        <v>454</v>
      </c>
      <c r="J46" s="38" t="s">
        <v>455</v>
      </c>
      <c r="K46" s="37" t="s">
        <v>439</v>
      </c>
      <c r="L46" s="37" t="s">
        <v>456</v>
      </c>
      <c r="M46" s="37" t="s">
        <v>90</v>
      </c>
      <c r="N46" s="38" t="s">
        <v>88</v>
      </c>
      <c r="O46" s="38" t="s">
        <v>431</v>
      </c>
    </row>
    <row r="47" spans="1:15" ht="61.5" customHeight="1">
      <c r="A47" s="37" t="s">
        <v>456</v>
      </c>
      <c r="B47" s="38" t="s">
        <v>55</v>
      </c>
      <c r="C47" s="38" t="s">
        <v>56</v>
      </c>
      <c r="D47" s="38" t="s">
        <v>457</v>
      </c>
      <c r="E47" s="38" t="s">
        <v>458</v>
      </c>
      <c r="F47" s="38" t="s">
        <v>459</v>
      </c>
      <c r="G47" s="38" t="s">
        <v>300</v>
      </c>
      <c r="H47" s="38" t="s">
        <v>460</v>
      </c>
      <c r="I47" s="38" t="s">
        <v>461</v>
      </c>
      <c r="J47" s="38" t="s">
        <v>462</v>
      </c>
      <c r="K47" s="37" t="s">
        <v>447</v>
      </c>
      <c r="L47" s="37" t="s">
        <v>463</v>
      </c>
      <c r="M47" s="37" t="s">
        <v>90</v>
      </c>
      <c r="N47" s="38" t="s">
        <v>88</v>
      </c>
      <c r="O47" s="38" t="s">
        <v>464</v>
      </c>
    </row>
    <row r="48" spans="1:15" ht="61.5" customHeight="1">
      <c r="A48" s="37" t="s">
        <v>463</v>
      </c>
      <c r="B48" s="38" t="s">
        <v>55</v>
      </c>
      <c r="C48" s="38" t="s">
        <v>56</v>
      </c>
      <c r="D48" s="38" t="s">
        <v>256</v>
      </c>
      <c r="E48" s="38" t="s">
        <v>465</v>
      </c>
      <c r="F48" s="38" t="s">
        <v>466</v>
      </c>
      <c r="G48" s="38" t="s">
        <v>293</v>
      </c>
      <c r="H48" s="38" t="s">
        <v>467</v>
      </c>
      <c r="I48" s="38" t="s">
        <v>468</v>
      </c>
      <c r="J48" s="38" t="s">
        <v>469</v>
      </c>
      <c r="K48" s="37" t="s">
        <v>456</v>
      </c>
      <c r="L48" s="37" t="s">
        <v>470</v>
      </c>
      <c r="M48" s="37" t="s">
        <v>90</v>
      </c>
      <c r="N48" s="38" t="s">
        <v>88</v>
      </c>
      <c r="O48" s="38" t="s">
        <v>471</v>
      </c>
    </row>
    <row r="49" spans="1:15" ht="61.5" customHeight="1">
      <c r="A49" s="37" t="s">
        <v>470</v>
      </c>
      <c r="B49" s="38" t="s">
        <v>55</v>
      </c>
      <c r="C49" s="38" t="s">
        <v>56</v>
      </c>
      <c r="D49" s="38" t="s">
        <v>120</v>
      </c>
      <c r="E49" s="38" t="s">
        <v>472</v>
      </c>
      <c r="F49" s="38" t="s">
        <v>473</v>
      </c>
      <c r="G49" s="38" t="s">
        <v>474</v>
      </c>
      <c r="H49" s="38" t="s">
        <v>475</v>
      </c>
      <c r="I49" s="38" t="s">
        <v>476</v>
      </c>
      <c r="J49" s="38" t="s">
        <v>477</v>
      </c>
      <c r="K49" s="37" t="s">
        <v>463</v>
      </c>
      <c r="L49" s="37" t="s">
        <v>478</v>
      </c>
      <c r="M49" s="37" t="s">
        <v>90</v>
      </c>
      <c r="N49" s="38" t="s">
        <v>88</v>
      </c>
      <c r="O49" s="38" t="s">
        <v>479</v>
      </c>
    </row>
    <row r="50" spans="1:15" ht="61.5" customHeight="1">
      <c r="A50" s="37" t="s">
        <v>478</v>
      </c>
      <c r="B50" s="38" t="s">
        <v>55</v>
      </c>
      <c r="C50" s="38" t="s">
        <v>56</v>
      </c>
      <c r="D50" s="38" t="s">
        <v>120</v>
      </c>
      <c r="E50" s="38" t="s">
        <v>480</v>
      </c>
      <c r="F50" s="38" t="s">
        <v>481</v>
      </c>
      <c r="G50" s="38" t="s">
        <v>200</v>
      </c>
      <c r="H50" s="38" t="s">
        <v>482</v>
      </c>
      <c r="I50" s="38" t="s">
        <v>483</v>
      </c>
      <c r="J50" s="38" t="s">
        <v>484</v>
      </c>
      <c r="K50" s="37" t="s">
        <v>470</v>
      </c>
      <c r="L50" s="37" t="s">
        <v>485</v>
      </c>
      <c r="M50" s="37" t="s">
        <v>90</v>
      </c>
      <c r="N50" s="38" t="s">
        <v>88</v>
      </c>
      <c r="O50" s="38" t="s">
        <v>486</v>
      </c>
    </row>
    <row r="51" spans="1:15" ht="61.5" customHeight="1">
      <c r="A51" s="37" t="s">
        <v>485</v>
      </c>
      <c r="B51" s="38" t="s">
        <v>55</v>
      </c>
      <c r="C51" s="38" t="s">
        <v>56</v>
      </c>
      <c r="D51" s="38" t="s">
        <v>487</v>
      </c>
      <c r="E51" s="38" t="s">
        <v>488</v>
      </c>
      <c r="F51" s="38" t="s">
        <v>489</v>
      </c>
      <c r="G51" s="38" t="s">
        <v>490</v>
      </c>
      <c r="H51" s="38" t="s">
        <v>491</v>
      </c>
      <c r="I51" s="38" t="s">
        <v>492</v>
      </c>
      <c r="J51" s="38" t="s">
        <v>493</v>
      </c>
      <c r="K51" s="37" t="s">
        <v>478</v>
      </c>
      <c r="L51" s="37" t="s">
        <v>494</v>
      </c>
      <c r="M51" s="37" t="s">
        <v>90</v>
      </c>
      <c r="N51" s="38" t="s">
        <v>88</v>
      </c>
      <c r="O51" s="38" t="s">
        <v>137</v>
      </c>
    </row>
    <row r="52" spans="1:15" ht="61.5" customHeight="1">
      <c r="A52" s="40" t="s">
        <v>494</v>
      </c>
      <c r="B52" s="41" t="s">
        <v>61</v>
      </c>
      <c r="C52" s="41" t="s">
        <v>62</v>
      </c>
      <c r="D52" s="41" t="s">
        <v>163</v>
      </c>
      <c r="E52" s="41" t="s">
        <v>495</v>
      </c>
      <c r="F52" s="41" t="s">
        <v>496</v>
      </c>
      <c r="G52" s="41" t="s">
        <v>497</v>
      </c>
      <c r="H52" s="41" t="s">
        <v>498</v>
      </c>
      <c r="I52" s="41" t="s">
        <v>499</v>
      </c>
      <c r="J52" s="41" t="s">
        <v>500</v>
      </c>
      <c r="K52" s="40" t="s">
        <v>485</v>
      </c>
      <c r="L52" s="40" t="s">
        <v>501</v>
      </c>
      <c r="M52" s="40" t="s">
        <v>90</v>
      </c>
      <c r="N52" s="41" t="s">
        <v>88</v>
      </c>
      <c r="O52" s="41" t="s">
        <v>502</v>
      </c>
    </row>
    <row r="53" spans="1:15" ht="61.5" customHeight="1">
      <c r="A53" s="40" t="s">
        <v>501</v>
      </c>
      <c r="B53" s="41" t="s">
        <v>61</v>
      </c>
      <c r="C53" s="41" t="s">
        <v>62</v>
      </c>
      <c r="D53" s="41" t="s">
        <v>120</v>
      </c>
      <c r="E53" s="41" t="s">
        <v>503</v>
      </c>
      <c r="F53" s="41" t="s">
        <v>504</v>
      </c>
      <c r="G53" s="41" t="s">
        <v>505</v>
      </c>
      <c r="H53" s="41" t="s">
        <v>506</v>
      </c>
      <c r="I53" s="41" t="s">
        <v>507</v>
      </c>
      <c r="J53" s="41" t="s">
        <v>508</v>
      </c>
      <c r="K53" s="40" t="s">
        <v>494</v>
      </c>
      <c r="L53" s="40" t="s">
        <v>509</v>
      </c>
      <c r="M53" s="40" t="s">
        <v>90</v>
      </c>
      <c r="N53" s="41" t="s">
        <v>88</v>
      </c>
      <c r="O53" s="41" t="s">
        <v>510</v>
      </c>
    </row>
    <row r="54" spans="1:15" ht="61.5" customHeight="1">
      <c r="A54" s="40" t="s">
        <v>509</v>
      </c>
      <c r="B54" s="41" t="s">
        <v>61</v>
      </c>
      <c r="C54" s="41" t="s">
        <v>62</v>
      </c>
      <c r="D54" s="41" t="s">
        <v>256</v>
      </c>
      <c r="E54" s="41" t="s">
        <v>511</v>
      </c>
      <c r="F54" s="41" t="s">
        <v>512</v>
      </c>
      <c r="G54" s="41" t="s">
        <v>513</v>
      </c>
      <c r="H54" s="41" t="s">
        <v>514</v>
      </c>
      <c r="I54" s="41" t="s">
        <v>515</v>
      </c>
      <c r="J54" s="41" t="s">
        <v>516</v>
      </c>
      <c r="K54" s="40" t="s">
        <v>501</v>
      </c>
      <c r="L54" s="40" t="s">
        <v>517</v>
      </c>
      <c r="M54" s="40" t="s">
        <v>90</v>
      </c>
      <c r="N54" s="41" t="s">
        <v>88</v>
      </c>
      <c r="O54" s="41" t="s">
        <v>471</v>
      </c>
    </row>
    <row r="55" spans="1:15" ht="61.5" customHeight="1">
      <c r="A55" s="40" t="s">
        <v>517</v>
      </c>
      <c r="B55" s="41" t="s">
        <v>61</v>
      </c>
      <c r="C55" s="41" t="s">
        <v>62</v>
      </c>
      <c r="D55" s="41" t="s">
        <v>518</v>
      </c>
      <c r="E55" s="41" t="s">
        <v>519</v>
      </c>
      <c r="F55" s="41" t="s">
        <v>520</v>
      </c>
      <c r="G55" s="41" t="s">
        <v>521</v>
      </c>
      <c r="H55" s="41" t="s">
        <v>522</v>
      </c>
      <c r="I55" s="41" t="s">
        <v>523</v>
      </c>
      <c r="J55" s="41" t="s">
        <v>524</v>
      </c>
      <c r="K55" s="40" t="s">
        <v>509</v>
      </c>
      <c r="L55" s="40" t="s">
        <v>517</v>
      </c>
      <c r="M55" s="42" t="s">
        <v>100</v>
      </c>
      <c r="N55" s="41" t="s">
        <v>525</v>
      </c>
      <c r="O55" s="41" t="s">
        <v>526</v>
      </c>
    </row>
    <row r="56" spans="1:15" ht="61.5" customHeight="1">
      <c r="A56" s="40" t="s">
        <v>527</v>
      </c>
      <c r="B56" s="41" t="s">
        <v>61</v>
      </c>
      <c r="C56" s="41" t="s">
        <v>62</v>
      </c>
      <c r="D56" s="41" t="s">
        <v>518</v>
      </c>
      <c r="E56" s="41" t="s">
        <v>528</v>
      </c>
      <c r="F56" s="41" t="s">
        <v>529</v>
      </c>
      <c r="G56" s="41" t="s">
        <v>293</v>
      </c>
      <c r="H56" s="41" t="s">
        <v>530</v>
      </c>
      <c r="I56" s="41" t="s">
        <v>531</v>
      </c>
      <c r="J56" s="41" t="s">
        <v>532</v>
      </c>
      <c r="K56" s="40" t="s">
        <v>517</v>
      </c>
      <c r="L56" s="40" t="s">
        <v>533</v>
      </c>
      <c r="M56" s="40" t="s">
        <v>90</v>
      </c>
      <c r="N56" s="41" t="s">
        <v>88</v>
      </c>
      <c r="O56" s="41" t="s">
        <v>471</v>
      </c>
    </row>
    <row r="57" spans="1:15" ht="61.5" customHeight="1">
      <c r="A57" s="40" t="s">
        <v>533</v>
      </c>
      <c r="B57" s="41" t="s">
        <v>61</v>
      </c>
      <c r="C57" s="41" t="s">
        <v>62</v>
      </c>
      <c r="D57" s="41" t="s">
        <v>534</v>
      </c>
      <c r="E57" s="41" t="s">
        <v>535</v>
      </c>
      <c r="F57" s="41" t="s">
        <v>536</v>
      </c>
      <c r="G57" s="41" t="s">
        <v>537</v>
      </c>
      <c r="H57" s="41" t="s">
        <v>538</v>
      </c>
      <c r="I57" s="41" t="s">
        <v>539</v>
      </c>
      <c r="J57" s="41" t="s">
        <v>540</v>
      </c>
      <c r="K57" s="40" t="s">
        <v>527</v>
      </c>
      <c r="L57" s="40" t="s">
        <v>541</v>
      </c>
      <c r="M57" s="40" t="s">
        <v>90</v>
      </c>
      <c r="N57" s="41" t="s">
        <v>88</v>
      </c>
      <c r="O57" s="41" t="s">
        <v>542</v>
      </c>
    </row>
  </sheetData>
  <autoFilter ref="A1:O57" xr:uid="{00000000-0009-0000-0000-000002000000}"/>
  <dataValidations count="1">
    <dataValidation type="list" sqref="M2:M57" xr:uid="{00000000-0002-0000-0200-000000000000}">
      <formula1>"Sí,No"</formula1>
      <formula2>0</formula2>
    </dataValidation>
  </dataValidation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
  <sheetViews>
    <sheetView showGridLines="0" zoomScaleNormal="100" workbookViewId="0"/>
  </sheetViews>
  <sheetFormatPr defaultColWidth="8.5703125" defaultRowHeight="14.45"/>
  <sheetData>
    <row r="1" spans="1:1" ht="16.5">
      <c r="A1" s="43" t="s">
        <v>543</v>
      </c>
    </row>
    <row r="2" spans="1:1">
      <c r="A2" s="44" t="s">
        <v>544</v>
      </c>
    </row>
  </sheetData>
  <pageMargins left="0.75" right="0.75" top="1" bottom="1" header="0.511811023622047" footer="0.511811023622047"/>
  <pageSetup paperSize="9" orientation="portrait" horizontalDpi="300" verticalDpi="30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17"/>
  <sheetViews>
    <sheetView tabSelected="1" zoomScaleNormal="100" workbookViewId="0">
      <selection activeCell="A12" sqref="A12"/>
    </sheetView>
  </sheetViews>
  <sheetFormatPr defaultColWidth="8.5703125" defaultRowHeight="14.45"/>
  <cols>
    <col min="1" max="1" width="40" customWidth="1"/>
    <col min="2" max="2" width="74" customWidth="1"/>
  </cols>
  <sheetData>
    <row r="1" spans="1:2">
      <c r="A1" s="45" t="s">
        <v>67</v>
      </c>
      <c r="B1" s="45" t="s">
        <v>70</v>
      </c>
    </row>
    <row r="2" spans="1:2" ht="49.5" customHeight="1">
      <c r="A2" s="46" t="s">
        <v>25</v>
      </c>
      <c r="B2" s="47" t="s">
        <v>27</v>
      </c>
    </row>
    <row r="3" spans="1:2" ht="49.5" customHeight="1">
      <c r="A3" s="48" t="s">
        <v>31</v>
      </c>
      <c r="B3" s="47" t="s">
        <v>33</v>
      </c>
    </row>
    <row r="4" spans="1:2" ht="49.5" customHeight="1">
      <c r="A4" s="49" t="s">
        <v>37</v>
      </c>
      <c r="B4" s="47" t="s">
        <v>39</v>
      </c>
    </row>
    <row r="5" spans="1:2" ht="49.5" customHeight="1">
      <c r="A5" s="50" t="s">
        <v>43</v>
      </c>
      <c r="B5" s="47" t="s">
        <v>45</v>
      </c>
    </row>
    <row r="6" spans="1:2" ht="49.5" customHeight="1">
      <c r="A6" s="51" t="s">
        <v>49</v>
      </c>
      <c r="B6" s="47" t="s">
        <v>51</v>
      </c>
    </row>
    <row r="7" spans="1:2" ht="49.5" customHeight="1">
      <c r="A7" s="52" t="s">
        <v>55</v>
      </c>
      <c r="B7" s="47" t="s">
        <v>57</v>
      </c>
    </row>
    <row r="8" spans="1:2" ht="49.5" customHeight="1">
      <c r="A8" s="53" t="s">
        <v>61</v>
      </c>
      <c r="B8" s="47" t="s">
        <v>63</v>
      </c>
    </row>
    <row r="10" spans="1:2" ht="57.75" customHeight="1">
      <c r="A10" s="54" t="s">
        <v>545</v>
      </c>
      <c r="B10" s="47" t="s">
        <v>546</v>
      </c>
    </row>
    <row r="11" spans="1:2" ht="57.75" customHeight="1">
      <c r="A11" s="54" t="s">
        <v>547</v>
      </c>
      <c r="B11" s="47" t="s">
        <v>548</v>
      </c>
    </row>
    <row r="12" spans="1:2" ht="62.45">
      <c r="A12" s="54" t="s">
        <v>549</v>
      </c>
      <c r="B12" s="47" t="s">
        <v>550</v>
      </c>
    </row>
    <row r="13" spans="1:2" ht="57.75" customHeight="1">
      <c r="A13" s="54" t="s">
        <v>551</v>
      </c>
      <c r="B13" s="47" t="s">
        <v>552</v>
      </c>
    </row>
    <row r="14" spans="1:2" ht="57.75" customHeight="1">
      <c r="A14" s="54" t="s">
        <v>553</v>
      </c>
      <c r="B14" s="47" t="s">
        <v>554</v>
      </c>
    </row>
    <row r="15" spans="1:2" ht="57.75" customHeight="1">
      <c r="A15" s="54" t="s">
        <v>555</v>
      </c>
      <c r="B15" s="47" t="s">
        <v>556</v>
      </c>
    </row>
    <row r="16" spans="1:2" ht="57.75" customHeight="1">
      <c r="A16" s="54" t="s">
        <v>557</v>
      </c>
      <c r="B16" s="47" t="s">
        <v>558</v>
      </c>
    </row>
    <row r="17" spans="1:2" ht="57.75" customHeight="1">
      <c r="A17" s="54" t="s">
        <v>559</v>
      </c>
      <c r="B17" s="47" t="s">
        <v>560</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
  <cp:revision>0</cp:revision>
  <dcterms:created xsi:type="dcterms:W3CDTF">2026-09-13T19:46:32Z</dcterms:created>
  <dcterms:modified xsi:type="dcterms:W3CDTF">2026-09-14T19:37:13Z</dcterms:modified>
  <cp:category/>
  <cp:contentStatus/>
</cp:coreProperties>
</file>